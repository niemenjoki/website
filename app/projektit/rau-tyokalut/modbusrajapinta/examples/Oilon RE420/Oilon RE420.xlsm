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AE6600E7-7A62-396C-DE95-9942FA9DD81E}"/>
  <workbookPr codeName="ThisWorkbook"/>
  <mc:AlternateContent xmlns:mc="http://schemas.openxmlformats.org/markup-compatibility/2006">
    <mc:Choice Requires="x15">
      <x15ac:absPath xmlns:x15ac="http://schemas.microsoft.com/office/spreadsheetml/2010/11/ac" url="C:\Users\jojo30\OneDrive - Assemblin\Mallipohjat ym\Modbus\"/>
    </mc:Choice>
  </mc:AlternateContent>
  <xr:revisionPtr revIDLastSave="0" documentId="8_{213C6E93-E656-40F6-BE29-7C613C1C043C}" xr6:coauthVersionLast="47" xr6:coauthVersionMax="47" xr10:uidLastSave="{00000000-0000-0000-0000-000000000000}"/>
  <bookViews>
    <workbookView xWindow="-28920" yWindow="-120" windowWidth="29040" windowHeight="15840" firstSheet="1" activeTab="1" xr2:uid="{00000000-000D-0000-FFFF-FFFF00000000}"/>
  </bookViews>
  <sheets>
    <sheet name="Electrical" sheetId="11" r:id="rId1"/>
    <sheet name="Bus" sheetId="1" r:id="rId2"/>
    <sheet name="Instructions" sheetId="13" r:id="rId3"/>
    <sheet name="Status" sheetId="12" r:id="rId4"/>
  </sheets>
  <definedNames>
    <definedName name="__xlnm.Print_Titles_1">Bus!$2:$12</definedName>
    <definedName name="_xlnm.Print_Titles" localSheetId="1">Bus!$1:$10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Z2" i="1" l="1"/>
  <c r="BZ1" i="1"/>
  <c r="E6" i="1"/>
  <c r="E5" i="1"/>
  <c r="E4" i="1"/>
  <c r="B7" i="1"/>
  <c r="B6" i="1"/>
  <c r="B5" i="1"/>
  <c r="B4" i="1"/>
  <c r="E8" i="1" l="1"/>
  <c r="C142" i="1" s="1"/>
  <c r="E7" i="1"/>
  <c r="N175" i="1"/>
  <c r="K175" i="1"/>
  <c r="J175" i="1"/>
  <c r="I175" i="1"/>
  <c r="N174" i="1"/>
  <c r="K174" i="1"/>
  <c r="J174" i="1"/>
  <c r="I174" i="1"/>
  <c r="N173" i="1"/>
  <c r="K173" i="1"/>
  <c r="J173" i="1"/>
  <c r="I173" i="1"/>
  <c r="N172" i="1"/>
  <c r="K172" i="1"/>
  <c r="J172" i="1"/>
  <c r="I172" i="1"/>
  <c r="N171" i="1"/>
  <c r="K171" i="1"/>
  <c r="J171" i="1"/>
  <c r="I171" i="1"/>
  <c r="N170" i="1"/>
  <c r="K170" i="1"/>
  <c r="J170" i="1"/>
  <c r="I170" i="1"/>
  <c r="N169" i="1"/>
  <c r="K169" i="1"/>
  <c r="J169" i="1"/>
  <c r="I169" i="1"/>
  <c r="N168" i="1"/>
  <c r="K168" i="1"/>
  <c r="J168" i="1"/>
  <c r="I168" i="1"/>
  <c r="N167" i="1"/>
  <c r="K167" i="1"/>
  <c r="J167" i="1"/>
  <c r="I167" i="1"/>
  <c r="N166" i="1"/>
  <c r="K166" i="1"/>
  <c r="J166" i="1"/>
  <c r="I166" i="1"/>
  <c r="N165" i="1"/>
  <c r="K165" i="1"/>
  <c r="J165" i="1"/>
  <c r="I165" i="1"/>
  <c r="N164" i="1"/>
  <c r="K164" i="1"/>
  <c r="J164" i="1"/>
  <c r="I164" i="1"/>
  <c r="N163" i="1"/>
  <c r="K163" i="1"/>
  <c r="J163" i="1"/>
  <c r="I163" i="1"/>
  <c r="N162" i="1"/>
  <c r="K162" i="1"/>
  <c r="J162" i="1"/>
  <c r="I162" i="1"/>
  <c r="N161" i="1"/>
  <c r="K161" i="1"/>
  <c r="J161" i="1"/>
  <c r="I161" i="1"/>
  <c r="N160" i="1"/>
  <c r="K160" i="1"/>
  <c r="J160" i="1"/>
  <c r="I160" i="1"/>
  <c r="J159" i="1"/>
  <c r="I159" i="1"/>
  <c r="N158" i="1"/>
  <c r="M158" i="1"/>
  <c r="L158" i="1"/>
  <c r="J158" i="1"/>
  <c r="I158" i="1"/>
  <c r="N157" i="1"/>
  <c r="M157" i="1"/>
  <c r="L157" i="1"/>
  <c r="J157" i="1"/>
  <c r="I157" i="1"/>
  <c r="N156" i="1"/>
  <c r="M156" i="1"/>
  <c r="L156" i="1"/>
  <c r="J156" i="1"/>
  <c r="I156" i="1"/>
  <c r="N155" i="1"/>
  <c r="M155" i="1"/>
  <c r="L155" i="1"/>
  <c r="J155" i="1"/>
  <c r="I155" i="1"/>
  <c r="N154" i="1"/>
  <c r="M154" i="1"/>
  <c r="L154" i="1"/>
  <c r="J154" i="1"/>
  <c r="I154" i="1"/>
  <c r="N153" i="1"/>
  <c r="M153" i="1"/>
  <c r="L153" i="1"/>
  <c r="J153" i="1"/>
  <c r="I153" i="1"/>
  <c r="N152" i="1"/>
  <c r="M152" i="1"/>
  <c r="L152" i="1"/>
  <c r="J152" i="1"/>
  <c r="I152" i="1"/>
  <c r="N151" i="1"/>
  <c r="M151" i="1"/>
  <c r="L151" i="1"/>
  <c r="J151" i="1"/>
  <c r="I151" i="1"/>
  <c r="N150" i="1"/>
  <c r="M150" i="1"/>
  <c r="L150" i="1"/>
  <c r="J150" i="1"/>
  <c r="I150" i="1"/>
  <c r="N149" i="1"/>
  <c r="M149" i="1"/>
  <c r="L149" i="1"/>
  <c r="J149" i="1"/>
  <c r="I149" i="1"/>
  <c r="N148" i="1"/>
  <c r="M148" i="1"/>
  <c r="L148" i="1"/>
  <c r="J148" i="1"/>
  <c r="I148" i="1"/>
  <c r="N147" i="1"/>
  <c r="M147" i="1"/>
  <c r="L147" i="1"/>
  <c r="J147" i="1"/>
  <c r="I147" i="1"/>
  <c r="N146" i="1"/>
  <c r="M146" i="1"/>
  <c r="L146" i="1"/>
  <c r="J146" i="1"/>
  <c r="I146" i="1"/>
  <c r="N145" i="1"/>
  <c r="M145" i="1"/>
  <c r="L145" i="1"/>
  <c r="J145" i="1"/>
  <c r="I145" i="1"/>
  <c r="N144" i="1"/>
  <c r="M144" i="1"/>
  <c r="L144" i="1"/>
  <c r="J144" i="1"/>
  <c r="I144" i="1"/>
  <c r="N143" i="1"/>
  <c r="M143" i="1"/>
  <c r="L143" i="1"/>
  <c r="J143" i="1"/>
  <c r="I143" i="1"/>
  <c r="M142" i="1"/>
  <c r="L142" i="1"/>
  <c r="J142" i="1"/>
  <c r="I142" i="1"/>
  <c r="N141" i="1"/>
  <c r="M141" i="1"/>
  <c r="L141" i="1"/>
  <c r="K141" i="1"/>
  <c r="J141" i="1"/>
  <c r="I141" i="1"/>
  <c r="N15" i="1"/>
  <c r="N16" i="1"/>
  <c r="N17" i="1"/>
  <c r="N18" i="1"/>
  <c r="N19" i="1"/>
  <c r="N20" i="1"/>
  <c r="N21" i="1"/>
  <c r="N22" i="1"/>
  <c r="N23" i="1"/>
  <c r="N24" i="1"/>
  <c r="N25" i="1"/>
  <c r="N26" i="1"/>
  <c r="N27" i="1"/>
  <c r="N28" i="1"/>
  <c r="N29" i="1"/>
  <c r="N30" i="1"/>
  <c r="M30" i="1"/>
  <c r="M29" i="1"/>
  <c r="M28" i="1"/>
  <c r="M27" i="1"/>
  <c r="M26" i="1"/>
  <c r="M25" i="1"/>
  <c r="M24" i="1"/>
  <c r="M23" i="1"/>
  <c r="M22" i="1"/>
  <c r="M21" i="1"/>
  <c r="M20" i="1"/>
  <c r="M19" i="1"/>
  <c r="M18" i="1"/>
  <c r="M17" i="1"/>
  <c r="M16" i="1"/>
  <c r="M15" i="1"/>
  <c r="M14" i="1"/>
  <c r="L30" i="1"/>
  <c r="L29" i="1"/>
  <c r="L28" i="1"/>
  <c r="L27" i="1"/>
  <c r="L26" i="1"/>
  <c r="L25" i="1"/>
  <c r="L24" i="1"/>
  <c r="L23" i="1"/>
  <c r="L22" i="1"/>
  <c r="L21" i="1"/>
  <c r="L20" i="1"/>
  <c r="L19" i="1"/>
  <c r="L18" i="1"/>
  <c r="L17" i="1"/>
  <c r="L16" i="1"/>
  <c r="L15" i="1"/>
  <c r="L14" i="1"/>
  <c r="J16" i="1"/>
  <c r="J17" i="1"/>
  <c r="J18" i="1"/>
  <c r="J19" i="1"/>
  <c r="J20" i="1"/>
  <c r="J21" i="1"/>
  <c r="J22" i="1"/>
  <c r="J23" i="1"/>
  <c r="J24" i="1"/>
  <c r="J25" i="1"/>
  <c r="J26" i="1"/>
  <c r="J27" i="1"/>
  <c r="J28" i="1"/>
  <c r="J29" i="1"/>
  <c r="J30" i="1"/>
  <c r="J15" i="1"/>
  <c r="J14" i="1"/>
  <c r="K47" i="1"/>
  <c r="K46" i="1"/>
  <c r="K45" i="1"/>
  <c r="K44" i="1"/>
  <c r="K43" i="1"/>
  <c r="K42" i="1"/>
  <c r="K41" i="1"/>
  <c r="K40" i="1"/>
  <c r="K39" i="1"/>
  <c r="K38" i="1"/>
  <c r="K37" i="1"/>
  <c r="K36" i="1"/>
  <c r="K35" i="1"/>
  <c r="K34" i="1"/>
  <c r="K33" i="1"/>
  <c r="K32" i="1"/>
  <c r="J47" i="1"/>
  <c r="J46" i="1"/>
  <c r="J45" i="1"/>
  <c r="J44" i="1"/>
  <c r="J43" i="1"/>
  <c r="J42" i="1"/>
  <c r="J41" i="1"/>
  <c r="J40" i="1"/>
  <c r="J39" i="1"/>
  <c r="J38" i="1"/>
  <c r="J37" i="1"/>
  <c r="J36" i="1"/>
  <c r="J35" i="1"/>
  <c r="J34" i="1"/>
  <c r="J33" i="1"/>
  <c r="J32" i="1"/>
  <c r="J31" i="1"/>
  <c r="I31" i="1"/>
  <c r="I14" i="1"/>
  <c r="N13" i="1"/>
  <c r="M13" i="1"/>
  <c r="L13" i="1"/>
  <c r="K13" i="1"/>
  <c r="J13" i="1"/>
  <c r="I13" i="1"/>
  <c r="C14" i="1" l="1"/>
  <c r="K14" i="1" l="1"/>
  <c r="C31" i="1"/>
  <c r="B3" i="1"/>
  <c r="N32" i="1" l="1"/>
  <c r="I30" i="1"/>
  <c r="I29" i="1"/>
  <c r="I28" i="1"/>
  <c r="I27" i="1"/>
  <c r="I26" i="1"/>
  <c r="I25" i="1"/>
  <c r="I24" i="1"/>
  <c r="I23" i="1"/>
  <c r="I22" i="1"/>
  <c r="I21" i="1"/>
  <c r="I20" i="1"/>
  <c r="I19" i="1"/>
  <c r="I18" i="1"/>
  <c r="I17" i="1"/>
  <c r="I16" i="1"/>
  <c r="I15" i="1"/>
  <c r="I47" i="1"/>
  <c r="I46" i="1"/>
  <c r="I45" i="1"/>
  <c r="I44" i="1"/>
  <c r="I43" i="1"/>
  <c r="I42" i="1"/>
  <c r="I41" i="1"/>
  <c r="I40" i="1"/>
  <c r="I39" i="1"/>
  <c r="I38" i="1"/>
  <c r="I37" i="1"/>
  <c r="I36" i="1"/>
  <c r="I35" i="1"/>
  <c r="I34" i="1"/>
  <c r="I33" i="1"/>
  <c r="I32" i="1"/>
  <c r="N47" i="1" l="1"/>
  <c r="N46" i="1"/>
  <c r="N45" i="1"/>
  <c r="N44" i="1"/>
  <c r="N43" i="1"/>
  <c r="N42" i="1"/>
  <c r="N41" i="1"/>
  <c r="N40" i="1"/>
  <c r="N39" i="1"/>
  <c r="N38" i="1"/>
  <c r="N37" i="1"/>
  <c r="N36" i="1"/>
  <c r="N35" i="1"/>
  <c r="N34" i="1"/>
  <c r="N33" i="1"/>
  <c r="C159" i="1" l="1"/>
  <c r="K142" i="1"/>
  <c r="C48" i="1" l="1"/>
  <c r="C49" i="1" s="1"/>
  <c r="C50" i="1" s="1"/>
  <c r="C51" i="1" s="1"/>
  <c r="C52" i="1" s="1"/>
  <c r="C53" i="1" s="1"/>
  <c r="C54" i="1" s="1"/>
  <c r="C55" i="1" s="1"/>
  <c r="K31" i="1"/>
  <c r="C176" i="1"/>
  <c r="C177" i="1" s="1"/>
  <c r="C178" i="1" s="1"/>
  <c r="C179" i="1" s="1"/>
  <c r="C180" i="1" s="1"/>
  <c r="C181" i="1" s="1"/>
  <c r="C182" i="1" s="1"/>
  <c r="K159" i="1"/>
  <c r="C56" i="1" l="1"/>
  <c r="C57" i="1" s="1"/>
  <c r="C58" i="1" s="1"/>
  <c r="C59" i="1" s="1"/>
  <c r="C60" i="1" s="1"/>
  <c r="C61" i="1" s="1"/>
  <c r="C62" i="1" s="1"/>
  <c r="C63" i="1" s="1"/>
  <c r="C64" i="1" s="1"/>
  <c r="C65" i="1" s="1"/>
  <c r="C66" i="1" s="1"/>
  <c r="C67" i="1" s="1"/>
  <c r="C68" i="1" s="1"/>
  <c r="C69" i="1" s="1"/>
  <c r="C70" i="1" s="1"/>
  <c r="C71" i="1" s="1"/>
  <c r="C72" i="1" s="1"/>
  <c r="C73" i="1" s="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C102" i="1" s="1"/>
  <c r="C103" i="1" s="1"/>
  <c r="C104" i="1" s="1"/>
  <c r="C105" i="1" s="1"/>
  <c r="C106" i="1" s="1"/>
  <c r="C107" i="1" s="1"/>
  <c r="C108" i="1" s="1"/>
  <c r="C109" i="1" s="1"/>
  <c r="C183" i="1"/>
  <c r="C184" i="1" s="1"/>
  <c r="C110" i="1" l="1"/>
  <c r="C111" i="1" s="1"/>
  <c r="C112" i="1" s="1"/>
  <c r="C113" i="1" s="1"/>
  <c r="C114" i="1" s="1"/>
  <c r="C115" i="1" s="1"/>
  <c r="C116" i="1" s="1"/>
  <c r="C117" i="1" s="1"/>
  <c r="C118" i="1" s="1"/>
  <c r="C119" i="1" s="1"/>
  <c r="C120" i="1" s="1"/>
  <c r="C121" i="1" s="1"/>
  <c r="C122" i="1" s="1"/>
  <c r="C123" i="1" s="1"/>
  <c r="C124" i="1" s="1"/>
  <c r="C125" i="1" s="1"/>
  <c r="C185" i="1"/>
  <c r="C126" i="1" l="1"/>
  <c r="C127" i="1" s="1"/>
  <c r="C128" i="1" s="1"/>
  <c r="C129" i="1" s="1"/>
  <c r="C130" i="1" s="1"/>
  <c r="C131" i="1" s="1"/>
  <c r="C132" i="1" s="1"/>
  <c r="C133" i="1" s="1"/>
  <c r="C134" i="1" s="1"/>
  <c r="C135" i="1" s="1"/>
  <c r="C136" i="1" s="1"/>
  <c r="C137" i="1" s="1"/>
  <c r="C138" i="1" s="1"/>
  <c r="C139" i="1" s="1"/>
  <c r="C186" i="1"/>
  <c r="C187" i="1" s="1"/>
  <c r="C188" i="1" l="1"/>
  <c r="C189" i="1" l="1"/>
  <c r="C190" i="1" s="1"/>
  <c r="C191" i="1" s="1"/>
  <c r="C192" i="1" s="1"/>
  <c r="C193" i="1" s="1"/>
  <c r="C194" i="1" s="1"/>
  <c r="C195" i="1" s="1"/>
  <c r="C196" i="1" s="1"/>
  <c r="C197" i="1" s="1"/>
  <c r="C198" i="1" s="1"/>
  <c r="C199" i="1" s="1"/>
  <c r="C200" i="1" s="1"/>
  <c r="C201" i="1" s="1"/>
  <c r="C202" i="1" s="1"/>
  <c r="C203" i="1" s="1"/>
  <c r="C204" i="1" s="1"/>
  <c r="C205" i="1" s="1"/>
  <c r="C206" i="1" l="1"/>
  <c r="C207" i="1" s="1"/>
  <c r="C208" i="1" s="1"/>
  <c r="C209" i="1" s="1"/>
  <c r="C210" i="1" s="1"/>
  <c r="C211" i="1" s="1"/>
  <c r="C212" i="1" s="1"/>
  <c r="C213" i="1" s="1"/>
  <c r="C214" i="1" s="1"/>
  <c r="C215" i="1" s="1"/>
  <c r="C216" i="1" s="1"/>
  <c r="C217" i="1" s="1"/>
  <c r="C218" i="1" s="1"/>
  <c r="C219" i="1" s="1"/>
  <c r="C220" i="1" s="1"/>
  <c r="C221" i="1" s="1"/>
  <c r="C222" i="1" s="1"/>
  <c r="C223" i="1" s="1"/>
  <c r="C224" i="1" s="1"/>
  <c r="C225" i="1" s="1"/>
  <c r="C226" i="1" s="1"/>
  <c r="C227" i="1" s="1"/>
  <c r="C228" i="1" s="1"/>
  <c r="C229" i="1" s="1"/>
  <c r="C230" i="1" s="1"/>
  <c r="C231" i="1" s="1"/>
  <c r="C232" i="1" s="1"/>
  <c r="C233" i="1" s="1"/>
  <c r="C234" i="1" s="1"/>
  <c r="C235" i="1" s="1"/>
  <c r="C236" i="1" s="1"/>
  <c r="C237" i="1" s="1"/>
  <c r="C238" i="1" s="1"/>
  <c r="C239" i="1" s="1"/>
  <c r="C240" i="1" s="1"/>
  <c r="C241" i="1" s="1"/>
  <c r="C242" i="1" s="1"/>
  <c r="C243" i="1" s="1"/>
  <c r="C244" i="1" s="1"/>
  <c r="C245" i="1" s="1"/>
  <c r="C246" i="1" s="1"/>
  <c r="C247" i="1" s="1"/>
  <c r="C248" i="1" s="1"/>
  <c r="C249" i="1" s="1"/>
  <c r="C250" i="1" s="1"/>
  <c r="C251" i="1" s="1"/>
  <c r="C252" i="1" s="1"/>
  <c r="C253" i="1" s="1"/>
  <c r="C25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Petja Ylitalo</author>
  </authors>
  <commentList>
    <comment ref="E3" authorId="0" shapeId="0" xr:uid="{D502E7F6-6513-426A-A75F-43F518C0A21A}">
      <text>
        <r>
          <rPr>
            <b/>
            <sz val="9"/>
            <color indexed="81"/>
            <rFont val="Tahoma"/>
            <family val="2"/>
          </rPr>
          <t>Max: 6
Other than 1 only works with Modbus RTU and TCP</t>
        </r>
      </text>
    </comment>
    <comment ref="E7" authorId="0" shapeId="0" xr:uid="{00000000-0006-0000-0000-000001000000}">
      <text>
        <r>
          <rPr>
            <b/>
            <sz val="9"/>
            <color indexed="81"/>
            <rFont val="Tahoma"/>
            <family val="2"/>
          </rPr>
          <t>Our addresses start from 0, if yours start from 1 you need to substract 1 from our address.
Some devices specify register type in address, in that case add 40000 to our address.</t>
        </r>
      </text>
    </comment>
    <comment ref="E8" authorId="0" shapeId="0" xr:uid="{A39FECF4-0F4C-4FFA-BDB5-EA0B1354671A}">
      <text>
        <r>
          <rPr>
            <b/>
            <sz val="9"/>
            <color indexed="81"/>
            <rFont val="Tahoma"/>
            <family val="2"/>
          </rPr>
          <t>Our addresses start from 0, if yours start from 1 you need to substract 1 from our address.
Some devices specify register type in address, in that case add 40000 to our address.</t>
        </r>
      </text>
    </comment>
    <comment ref="F176" authorId="0" shapeId="0" xr:uid="{00000000-0006-0000-0000-000003000000}">
      <text>
        <r>
          <rPr>
            <b/>
            <sz val="9"/>
            <color indexed="81"/>
            <rFont val="Tahoma"/>
            <family val="2"/>
          </rPr>
          <t>Pump is always controlled by this, compressor is if any of these apply:
Primary target (heat/chill) is this.
Pump is not used or not speed controlled
"SecondarySideAlwaysLimitsPower" is set from heat pump configurator</t>
        </r>
      </text>
    </comment>
    <comment ref="F177" authorId="0" shapeId="0" xr:uid="{00000000-0006-0000-0000-000004000000}">
      <text>
        <r>
          <rPr>
            <b/>
            <sz val="9"/>
            <color indexed="81"/>
            <rFont val="Tahoma"/>
            <family val="2"/>
          </rPr>
          <t>Pump is always controlled by this, compressor is if any of these apply:
Primary target (heat/chill) is this.
Pump is not used or not speed controlled
"SecondarySideAlwaysLimitsPower" is set from heat pump configurator</t>
        </r>
      </text>
    </comment>
  </commentList>
</comments>
</file>

<file path=xl/sharedStrings.xml><?xml version="1.0" encoding="utf-8"?>
<sst xmlns="http://schemas.openxmlformats.org/spreadsheetml/2006/main" count="945" uniqueCount="403">
  <si>
    <t>Symbol</t>
  </si>
  <si>
    <t>Address</t>
  </si>
  <si>
    <t>Data type</t>
  </si>
  <si>
    <t>Unit</t>
  </si>
  <si>
    <t>Comment</t>
  </si>
  <si>
    <t>kWh</t>
  </si>
  <si>
    <t>Protocol:</t>
  </si>
  <si>
    <t>Modbus RTU</t>
  </si>
  <si>
    <t>FC Read:</t>
  </si>
  <si>
    <t>FC Write:</t>
  </si>
  <si>
    <t>Data rate:</t>
  </si>
  <si>
    <t>Parity:</t>
  </si>
  <si>
    <t>Data bits:</t>
  </si>
  <si>
    <t>Stop bits:</t>
  </si>
  <si>
    <t>.0</t>
  </si>
  <si>
    <t>.1</t>
  </si>
  <si>
    <t>.2</t>
  </si>
  <si>
    <t>.3</t>
  </si>
  <si>
    <t>.4</t>
  </si>
  <si>
    <t>.5</t>
  </si>
  <si>
    <t>.6</t>
  </si>
  <si>
    <t>.7</t>
  </si>
  <si>
    <t>.8</t>
  </si>
  <si>
    <t>.9</t>
  </si>
  <si>
    <t>.10</t>
  </si>
  <si>
    <t>.11</t>
  </si>
  <si>
    <t>.12</t>
  </si>
  <si>
    <t>.13</t>
  </si>
  <si>
    <t>.14</t>
  </si>
  <si>
    <t>.15</t>
  </si>
  <si>
    <t>Value type</t>
  </si>
  <si>
    <t>BIT</t>
  </si>
  <si>
    <t>Res</t>
  </si>
  <si>
    <t>CommCheck</t>
  </si>
  <si>
    <t>ReceiveState1</t>
  </si>
  <si>
    <t>ReceiveState2</t>
  </si>
  <si>
    <t>Communication information</t>
  </si>
  <si>
    <t>First Read Adrs:</t>
  </si>
  <si>
    <t>First Write Adrs:</t>
  </si>
  <si>
    <t xml:space="preserve">ChillHeat      Communication </t>
  </si>
  <si>
    <t>ElectricalCurrent</t>
  </si>
  <si>
    <t>ControlColdPump</t>
  </si>
  <si>
    <t>ControlWarmPump</t>
  </si>
  <si>
    <t>AvailableCapacity</t>
  </si>
  <si>
    <t>RelativePower</t>
  </si>
  <si>
    <t>0..10000</t>
  </si>
  <si>
    <t>INT</t>
  </si>
  <si>
    <t>UDINT</t>
  </si>
  <si>
    <t>COP*100</t>
  </si>
  <si>
    <t>Running</t>
  </si>
  <si>
    <t>HighPressureSwitchAlarm</t>
  </si>
  <si>
    <t>GasDetectorAlarm</t>
  </si>
  <si>
    <t>WaitingForPermission</t>
  </si>
  <si>
    <t>°C * 100</t>
  </si>
  <si>
    <t>This can be used to control pump or valve controlling heatpump cold water circuit flow</t>
  </si>
  <si>
    <t>This can be used to control pump or valve controlling heatpump warm water circuit flow</t>
  </si>
  <si>
    <t>CondensingTemperatureHighAlarm</t>
  </si>
  <si>
    <t>High pressure switch tripped. Needs manual reset, green button behind heatpump side door</t>
  </si>
  <si>
    <t>ActiveAlarm</t>
  </si>
  <si>
    <t>ActiveWarning</t>
  </si>
  <si>
    <t>ActiveLimiter</t>
  </si>
  <si>
    <t>Compressor(s) stopped, but will start automatically again</t>
  </si>
  <si>
    <t>Needs acknowledgement before compressor(s) starts again</t>
  </si>
  <si>
    <t>Low evaporating temperature or high condensing temperature limiting power</t>
  </si>
  <si>
    <t>Difference between warm side and cold side temperature too high, or compressor power too low</t>
  </si>
  <si>
    <t>SuperheatLowAlarm</t>
  </si>
  <si>
    <t>Expansion valve not working properly</t>
  </si>
  <si>
    <t>FeedbackAlarm</t>
  </si>
  <si>
    <t>Compressor not starting when it should, or problem with feedback signal</t>
  </si>
  <si>
    <t>Heatpump Sends (BigEndian byte order)</t>
  </si>
  <si>
    <t>Heatpump Sends (SmallEndian byte order)</t>
  </si>
  <si>
    <t>CompressorSafetyDeviceFault</t>
  </si>
  <si>
    <t>CompressorStarterFault</t>
  </si>
  <si>
    <t>VFD or Softstarter or motor thermal protection relay fault</t>
  </si>
  <si>
    <t>Check that cold water pump is running and valves are open. Check flow switch for local flow indication (red led = not enough flow, other leds = enough flow, no leds = flowswitch missing power or broken)</t>
  </si>
  <si>
    <t>Local start button is off, or remote stop is active</t>
  </si>
  <si>
    <t>EvaporatingTemperature</t>
  </si>
  <si>
    <t>CondensingTemperature</t>
  </si>
  <si>
    <t>Heatpump Receives (SmallEndian byte order)</t>
  </si>
  <si>
    <t>SendState</t>
  </si>
  <si>
    <t>Alarms</t>
  </si>
  <si>
    <t>How much unused capacity is available, 0 = heatpump cannot increase power anymore. Use this to control devices that go on when extra heating / cooling is needed.</t>
  </si>
  <si>
    <t>How much of compressor power is in use in %. Use this to display heatpump power in %</t>
  </si>
  <si>
    <t>RemoteStop</t>
  </si>
  <si>
    <t>PowerControlExternal</t>
  </si>
  <si>
    <t>PowerControlExternalOn</t>
  </si>
  <si>
    <t>NoColdWaterFlow</t>
  </si>
  <si>
    <t>A * 100</t>
  </si>
  <si>
    <t>UINT</t>
  </si>
  <si>
    <t>kW * 10</t>
  </si>
  <si>
    <t>If valve controlled by temperature in, this setpoint controls valve</t>
  </si>
  <si>
    <t>ControlWaterValve</t>
  </si>
  <si>
    <t>ResetAlarms</t>
  </si>
  <si>
    <t>Slave address</t>
  </si>
  <si>
    <t>WORD</t>
  </si>
  <si>
    <t>Heatpump Receives (BigEndian byte order)</t>
  </si>
  <si>
    <t>Can be:Low oil level, most often caused by compressor running too short periods, can also be because of too low pressure difference between suction and discharge side of compressor, or too low superheat.High motor temperature, most often caused by too low refrigerant flow through compressor, caused by too low minimum power combined with too high pressure difference between discharge and suction side.High discharge gas temperature, most often caused by too low refrigerant flow through compressor, caused by too low minimum power combined with too high pressure difference between discharge and suction side</t>
  </si>
  <si>
    <t>Tells heatpump communication is working, alarm if remote control on and state stays same for 100s. You can write back comm check signal heatpump writes, or make your own alternating signal. Alarm will not stop heatpump</t>
  </si>
  <si>
    <t>Lets you control heatpump power directly by inputting value to "PowerControlExternal"</t>
  </si>
  <si>
    <t>Profibus</t>
  </si>
  <si>
    <t>Bacnet</t>
  </si>
  <si>
    <t>Bus type:</t>
  </si>
  <si>
    <t>ConsumedKW</t>
  </si>
  <si>
    <t>ConsumedKWH</t>
  </si>
  <si>
    <t>ConsumedKWSystem</t>
  </si>
  <si>
    <t>ConsumedKWHSystem</t>
  </si>
  <si>
    <t>For all connected heatpumps</t>
  </si>
  <si>
    <t>COPCombinedSystem</t>
  </si>
  <si>
    <t>COPHeatingSystem</t>
  </si>
  <si>
    <t>COPCoolingSystem</t>
  </si>
  <si>
    <t>PLC Connection</t>
  </si>
  <si>
    <t>Modbus TCP</t>
  </si>
  <si>
    <t>HighEvaporatingTemperatureAlarm</t>
  </si>
  <si>
    <t>Cold water too warm</t>
  </si>
  <si>
    <t>Cold water temperature too low,not enough flow, problem with expansion valve, or too little refrigerant</t>
  </si>
  <si>
    <t>Warm water temperature too high, not enough flow, or too much refrigerant</t>
  </si>
  <si>
    <t>HighDischargeTemperatureAlarm</t>
  </si>
  <si>
    <t>Ready</t>
  </si>
  <si>
    <t>Can be used to start external cold side pump</t>
  </si>
  <si>
    <t>Can be used to start external warm side pump</t>
  </si>
  <si>
    <t>At least one compressor running</t>
  </si>
  <si>
    <t>Heat pump unit ready for operation. Waiting for start.</t>
  </si>
  <si>
    <t>Alternates state with 10s interval. Communication check</t>
  </si>
  <si>
    <t>Refrigerant leak detector alarm</t>
  </si>
  <si>
    <t>Cold side outgoing water temperature</t>
  </si>
  <si>
    <t>Warm side outgoing water temperature</t>
  </si>
  <si>
    <t>Cold side incoming water temperature</t>
  </si>
  <si>
    <t>ParallelConnection</t>
  </si>
  <si>
    <t>CompStartPoint</t>
  </si>
  <si>
    <t>At which power control point next compressor starts</t>
  </si>
  <si>
    <t>Highest allowed</t>
  </si>
  <si>
    <t>Lowest allowed</t>
  </si>
  <si>
    <t>Lowest allowed, EvaporatorTemperature=(EvaporatingTemperature+ColdSideTemperatureOut)/2</t>
  </si>
  <si>
    <t>LimLo</t>
  </si>
  <si>
    <t>Minimum power of heatpump</t>
  </si>
  <si>
    <t>Runtime10h_2comp3</t>
  </si>
  <si>
    <t>Runtime10h_1comp1</t>
  </si>
  <si>
    <t>Runtime10h_1comp2</t>
  </si>
  <si>
    <t>Runtime10h_1comp3</t>
  </si>
  <si>
    <t>Runtime10h_2comp1</t>
  </si>
  <si>
    <t>Runtime10h_2comp2</t>
  </si>
  <si>
    <t>10h</t>
  </si>
  <si>
    <t>Time compressor has been on</t>
  </si>
  <si>
    <t>Refrigerant circuit 1. Can be used as running indication.</t>
  </si>
  <si>
    <t>Refrigerant circuit 2. Can be used as running indication.</t>
  </si>
  <si>
    <t>SeparateSetpoints</t>
  </si>
  <si>
    <t>TE11</t>
  </si>
  <si>
    <t>TE12</t>
  </si>
  <si>
    <t>1comp1</t>
  </si>
  <si>
    <t>1comp2</t>
  </si>
  <si>
    <t>1comp3</t>
  </si>
  <si>
    <t>2comp1</t>
  </si>
  <si>
    <t>2comp2</t>
  </si>
  <si>
    <t>2comp3</t>
  </si>
  <si>
    <t>1FS11</t>
  </si>
  <si>
    <t>1QA1</t>
  </si>
  <si>
    <t>xPSxx</t>
  </si>
  <si>
    <t>xPE2</t>
  </si>
  <si>
    <t>xPE1</t>
  </si>
  <si>
    <t>EvaporatorTemperatureLowAlarm</t>
  </si>
  <si>
    <t>xTE2</t>
  </si>
  <si>
    <t>XPE1</t>
  </si>
  <si>
    <t>xPE1,xTE1</t>
  </si>
  <si>
    <t>TE21</t>
  </si>
  <si>
    <t>TE22</t>
  </si>
  <si>
    <t>1KWH1</t>
  </si>
  <si>
    <t>1FIR11</t>
  </si>
  <si>
    <t>1FIR21</t>
  </si>
  <si>
    <t>1FIR11&amp;1KWH1</t>
  </si>
  <si>
    <t>1FIR21&amp;1KWH1</t>
  </si>
  <si>
    <t>1VFD11</t>
  </si>
  <si>
    <t>1VFD21</t>
  </si>
  <si>
    <t>Profinet</t>
  </si>
  <si>
    <t>COM1</t>
  </si>
  <si>
    <t>Mode</t>
  </si>
  <si>
    <t>ColdTempIn</t>
  </si>
  <si>
    <t>ColdTempOut</t>
  </si>
  <si>
    <t>WarmTempIn</t>
  </si>
  <si>
    <t>WarmTempOut</t>
  </si>
  <si>
    <t>PowerLimHi</t>
  </si>
  <si>
    <t>PowerLimLo</t>
  </si>
  <si>
    <t>Minimum allowed power, 5000=half of available power must, 10000=All power must be used</t>
  </si>
  <si>
    <t>EvaporatingTemperature1</t>
  </si>
  <si>
    <t>EvaporatingTemperature2</t>
  </si>
  <si>
    <t>CondensingTemperature1</t>
  </si>
  <si>
    <t>CondensingTemperature2</t>
  </si>
  <si>
    <t>1PE1</t>
  </si>
  <si>
    <t>2PE1</t>
  </si>
  <si>
    <t>1PE2</t>
  </si>
  <si>
    <t>2PE2</t>
  </si>
  <si>
    <t>Circuit 2</t>
  </si>
  <si>
    <t>If 2 circuits, lower temperature in active circuit is sent</t>
  </si>
  <si>
    <t>If 2 circuits, higher temperature in active circuit is sent</t>
  </si>
  <si>
    <t>Circuit 1</t>
  </si>
  <si>
    <t>ColdPumpLimLo</t>
  </si>
  <si>
    <t>ColdPumpSP</t>
  </si>
  <si>
    <t>ColdPumpLimHi</t>
  </si>
  <si>
    <t>ColdPumpMode</t>
  </si>
  <si>
    <t>WarmPumpLimHi</t>
  </si>
  <si>
    <t>WarmPumpLimLo</t>
  </si>
  <si>
    <t>WarmPumpSP</t>
  </si>
  <si>
    <t>WarmPumpMode</t>
  </si>
  <si>
    <t>°C * 100 / 0..10000</t>
  </si>
  <si>
    <t>ControlColdValve</t>
  </si>
  <si>
    <t>1FV11</t>
  </si>
  <si>
    <t>1FV21</t>
  </si>
  <si>
    <t>Water valve control</t>
  </si>
  <si>
    <t>Not used anymore</t>
  </si>
  <si>
    <t>For all connected heatpumps, works if energy meter connected or all compressors have VFD</t>
  </si>
  <si>
    <t>For all connected heatpumps, works if energy meter connected</t>
  </si>
  <si>
    <t>Works if energy meter connected. Produced cooling energy.</t>
  </si>
  <si>
    <t>Works if energy meter connected. Produced heating energy.</t>
  </si>
  <si>
    <t>Works if energy meter connected. Consumed electrical energy.</t>
  </si>
  <si>
    <t>Works if energy meters connected. Cooling power / electrical power</t>
  </si>
  <si>
    <t>Works if energy meters connected. Heating power / electrical power.</t>
  </si>
  <si>
    <t>Works if energy meter connected. Produced cooling power.</t>
  </si>
  <si>
    <t>Works if energy meter connected. Produced heating power</t>
  </si>
  <si>
    <t>Works if energy meter connected or all compressors have VFD. Electrical current consumed by heat pump</t>
  </si>
  <si>
    <t>Works if energy meter connected or all compressors have VFD. Consumed electrical power.</t>
  </si>
  <si>
    <t>CoolingCOPNow</t>
  </si>
  <si>
    <t>HeatingCOPNow</t>
  </si>
  <si>
    <t>ControlWarmValve</t>
  </si>
  <si>
    <t>CoolingCOPAverage</t>
  </si>
  <si>
    <t>HeatingCOPAverage</t>
  </si>
  <si>
    <t>CombinedCOPAverage</t>
  </si>
  <si>
    <t>1FIR11&amp;1FIR21&amp;1KWH1</t>
  </si>
  <si>
    <t>Works if energy meters connected. (CoolingPower+HeatingPower) / electrical power.</t>
  </si>
  <si>
    <t>Maximum allowed power, 5000=half of available power can be used, 10000=All power can be used. Not in use if 0.</t>
  </si>
  <si>
    <t>EvaporatingTemperatureLimHi</t>
  </si>
  <si>
    <t>EvaporatorTemperatureLimLo</t>
  </si>
  <si>
    <t>CondensingTemperatureLimHi</t>
  </si>
  <si>
    <t>CondensingTemperatureLimLo</t>
  </si>
  <si>
    <t>ColdBufferTempUpper</t>
  </si>
  <si>
    <t>ColdBufferTempMiddle</t>
  </si>
  <si>
    <t>ColdBufferTempLower</t>
  </si>
  <si>
    <t>WarmBufferTempUpper</t>
  </si>
  <si>
    <t>WarmBufferTempMiddle</t>
  </si>
  <si>
    <t>WarmBufferTempLower</t>
  </si>
  <si>
    <t>Control heatpump power directly, 10000=100%, enabled by PowerControlExternalOn. If CommCheck does not change state in 100sec, heatpump starts following setpoints instead until commcheck works again.</t>
  </si>
  <si>
    <t>Own setpoint for each heatpump, if 0, master writes setpoint to slaves. Has no effect if ParallelConnection is not on.</t>
  </si>
  <si>
    <t>Heatpump nr:</t>
  </si>
  <si>
    <t>Register type</t>
  </si>
  <si>
    <t>Holding (40000)</t>
  </si>
  <si>
    <t>ColdTempInSystem</t>
  </si>
  <si>
    <t>ColdTempOutSystem</t>
  </si>
  <si>
    <t>WarmTempInSystem</t>
  </si>
  <si>
    <t>WarmTempOutSystem</t>
  </si>
  <si>
    <t>ColdSP</t>
  </si>
  <si>
    <t>WarmSP</t>
  </si>
  <si>
    <t>WaterValveSPTempIn</t>
  </si>
  <si>
    <t>ColdKWSystem</t>
  </si>
  <si>
    <t>ColdKWHSystem</t>
  </si>
  <si>
    <t>ColdFlowWanted</t>
  </si>
  <si>
    <t>ColdKW</t>
  </si>
  <si>
    <t>WarmKWSystem</t>
  </si>
  <si>
    <t>WarmKWHSystem</t>
  </si>
  <si>
    <t>WarmFlowWanted</t>
  </si>
  <si>
    <t>WarmKW</t>
  </si>
  <si>
    <t>WarmKWH</t>
  </si>
  <si>
    <t>Device name</t>
  </si>
  <si>
    <t>Chillheat</t>
  </si>
  <si>
    <t>IP Address</t>
  </si>
  <si>
    <t>10.20.30.11</t>
  </si>
  <si>
    <t>Address interval</t>
  </si>
  <si>
    <t>MaxHeatpumps</t>
  </si>
  <si>
    <t>Custom1</t>
  </si>
  <si>
    <t>Custom2</t>
  </si>
  <si>
    <t>Custom3</t>
  </si>
  <si>
    <t>Custom4</t>
  </si>
  <si>
    <t>Custom5</t>
  </si>
  <si>
    <t>Custom6</t>
  </si>
  <si>
    <t>Custom7</t>
  </si>
  <si>
    <t>Custom8</t>
  </si>
  <si>
    <t>Custom9</t>
  </si>
  <si>
    <t>Custom10</t>
  </si>
  <si>
    <t>Can be read or write</t>
  </si>
  <si>
    <t>Custom11</t>
  </si>
  <si>
    <t>Custom12</t>
  </si>
  <si>
    <t>Custom13</t>
  </si>
  <si>
    <t>Custom14</t>
  </si>
  <si>
    <t>Custom15</t>
  </si>
  <si>
    <t>Custom16</t>
  </si>
  <si>
    <t>Custom17</t>
  </si>
  <si>
    <t>Custom18</t>
  </si>
  <si>
    <t>Custom19</t>
  </si>
  <si>
    <t>Custom20</t>
  </si>
  <si>
    <t>Status</t>
  </si>
  <si>
    <t>Check tab "status"</t>
  </si>
  <si>
    <t>TextLibraryValue</t>
  </si>
  <si>
    <t>Waiting for startbutton</t>
  </si>
  <si>
    <t>Remote stop on</t>
  </si>
  <si>
    <t>No compressors available</t>
  </si>
  <si>
    <t>Waiting for oil heating</t>
  </si>
  <si>
    <t>Waiting for cooler discharge temperature</t>
  </si>
  <si>
    <t>Waiting for cooler warm water tank</t>
  </si>
  <si>
    <t>Waiting for warmer cold water tank</t>
  </si>
  <si>
    <t>Waiting for warmer warm side water</t>
  </si>
  <si>
    <t>Waiting for warm water flow</t>
  </si>
  <si>
    <t>Waiting for cooler warm side water</t>
  </si>
  <si>
    <t>Warm temp out must be higher compared to warm temp in</t>
  </si>
  <si>
    <t>Waiting for cold water flow</t>
  </si>
  <si>
    <t>Waiting for warmer cold side water</t>
  </si>
  <si>
    <t>Waiting for cooler suction gas</t>
  </si>
  <si>
    <t>Waiting for compressor start interval to finish</t>
  </si>
  <si>
    <t>Waiting for start permission from external power control</t>
  </si>
  <si>
    <t>Controlling power to reach desired water temperatures</t>
  </si>
  <si>
    <t>High condensing temperature limiting power</t>
  </si>
  <si>
    <t>Low Evaporator temperature limiting power</t>
  </si>
  <si>
    <t>High compressor current limiting power</t>
  </si>
  <si>
    <t>High consumed power limiting power</t>
  </si>
  <si>
    <t>External limit limiting power</t>
  </si>
  <si>
    <t>External power control controlling power</t>
  </si>
  <si>
    <t>Running on full power</t>
  </si>
  <si>
    <t>Heatpump start permission is off as long as this is on</t>
  </si>
  <si>
    <t>ExpansionValve1Position</t>
  </si>
  <si>
    <t>ExpansionValve2Position</t>
  </si>
  <si>
    <t>Refrigerant circuit 1</t>
  </si>
  <si>
    <t>Refrigerant circuit 2</t>
  </si>
  <si>
    <t>Alarm_1comp1</t>
  </si>
  <si>
    <t>Alarm_1comp2</t>
  </si>
  <si>
    <t>Alarm_1comp3</t>
  </si>
  <si>
    <t>Alarm_2comp1</t>
  </si>
  <si>
    <t>Alarm_2comp2</t>
  </si>
  <si>
    <t>Alarm_2comp3</t>
  </si>
  <si>
    <t>Control_1comp1</t>
  </si>
  <si>
    <t>Control_1comp2</t>
  </si>
  <si>
    <t>Control_1comp3</t>
  </si>
  <si>
    <t>Control_2comp1</t>
  </si>
  <si>
    <t>Control_2comp2</t>
  </si>
  <si>
    <t>Control_2comp3</t>
  </si>
  <si>
    <t>SuctTemp</t>
  </si>
  <si>
    <t>SuctTemp1</t>
  </si>
  <si>
    <t>SuctTemp2</t>
  </si>
  <si>
    <t>Suction temperature circuit 1</t>
  </si>
  <si>
    <t>Suction temperature circuit 2</t>
  </si>
  <si>
    <t>StartDelayCMin</t>
  </si>
  <si>
    <t>StartDifCold</t>
  </si>
  <si>
    <t>StartDifWarm</t>
  </si>
  <si>
    <t>StopDifCold</t>
  </si>
  <si>
    <t>StopDifWarm</t>
  </si>
  <si>
    <t>Cmin</t>
  </si>
  <si>
    <t>StopDelayCMin</t>
  </si>
  <si>
    <t>0 is ignored</t>
  </si>
  <si>
    <t>Setting enabled when ColdPumpLimHi&gt;0</t>
  </si>
  <si>
    <t>Setting enabled when ColdPumpLimHi&gt;0, 0=Temp out, 1=Temperature difference, 2=Constant speed, 10=Temperature out, always on, 11=Temperature difference, always on, 12=Constant speed, always on</t>
  </si>
  <si>
    <t>Setting enabled when WarmPumpLimHi&gt;0</t>
  </si>
  <si>
    <t>Setting enabled when WarmPumpLimHi&gt;0, 0=Temp out, 1=Temperature difference, 2=Constant speed, 10=Temperature out, always on, 11=Temperature difference, always on, 12=Constant speed, always on</t>
  </si>
  <si>
    <t>Write here how cold you want cold water from heatpump to be, controls cold side pump speed, and compressor power. Works when heatpump in remote mode</t>
  </si>
  <si>
    <t>Write here how warm you want warm water from heatpump to be, controls warm side pump speed, and compressor power. Works when heatpump in remote mode</t>
  </si>
  <si>
    <t>Profinet: (NEW 2022)</t>
  </si>
  <si>
    <t>EvaporatorFlow</t>
  </si>
  <si>
    <t>Kg/s * 10</t>
  </si>
  <si>
    <t>Kamstrup flow measurement (works if installed and enabled in control panel)</t>
  </si>
  <si>
    <t>CondenserFlow</t>
  </si>
  <si>
    <t>SubcoolerFlow</t>
  </si>
  <si>
    <t>Was ColdFlow</t>
  </si>
  <si>
    <t>Was WarmFlow</t>
  </si>
  <si>
    <t>DischargeTemperatureLimHi</t>
  </si>
  <si>
    <t>DischargeTemperature1</t>
  </si>
  <si>
    <t>DischargeTemperature2</t>
  </si>
  <si>
    <t>Refrigerant temperature after compressor</t>
  </si>
  <si>
    <t>1TE2</t>
  </si>
  <si>
    <t>2TE2</t>
  </si>
  <si>
    <t>Custom21</t>
  </si>
  <si>
    <t>Custom22</t>
  </si>
  <si>
    <t>Custom23</t>
  </si>
  <si>
    <t>Custom24</t>
  </si>
  <si>
    <t>Custom25</t>
  </si>
  <si>
    <t>Custom26</t>
  </si>
  <si>
    <t>Custom27</t>
  </si>
  <si>
    <t>Custom28</t>
  </si>
  <si>
    <t>Custom29</t>
  </si>
  <si>
    <t>Custom30</t>
  </si>
  <si>
    <t>Custom31</t>
  </si>
  <si>
    <t>Custom32</t>
  </si>
  <si>
    <t>Custom33</t>
  </si>
  <si>
    <t>Custom34</t>
  </si>
  <si>
    <t>Custom35</t>
  </si>
  <si>
    <t>Custom36</t>
  </si>
  <si>
    <t>Custom37</t>
  </si>
  <si>
    <t>Custom38</t>
  </si>
  <si>
    <t>Custom39</t>
  </si>
  <si>
    <t>Custom40</t>
  </si>
  <si>
    <t>Custom41</t>
  </si>
  <si>
    <t>Custom42</t>
  </si>
  <si>
    <t>Custom43</t>
  </si>
  <si>
    <t>Custom44</t>
  </si>
  <si>
    <t>Custom45</t>
  </si>
  <si>
    <t>Custom46</t>
  </si>
  <si>
    <t>Custom47</t>
  </si>
  <si>
    <t>Custom48</t>
  </si>
  <si>
    <t>Custom49</t>
  </si>
  <si>
    <t>Custom50</t>
  </si>
  <si>
    <t>SubcoolerWaterTempIn</t>
  </si>
  <si>
    <t>SubcoolerWaterTempOut</t>
  </si>
  <si>
    <t>Not usually included</t>
  </si>
  <si>
    <t>Warm side incoming water temperature, usually in subcooler inlet</t>
  </si>
  <si>
    <t>ConsumedPowerLimHi</t>
  </si>
  <si>
    <t>Highest allowed consumed power, enabled if over 0</t>
  </si>
  <si>
    <t>Importantest orange background. All signals are optional, but if heatpump is set on remote control it will make an alarm if CommCheck received does not alternate. Alarm will not stop heatpump</t>
  </si>
  <si>
    <t>ColdKWH</t>
  </si>
  <si>
    <t>ControlMode</t>
  </si>
  <si>
    <t>0=Run until either side satisfied, 1=Run until both sides satisfied, 2=Run until cooling side satisfied, 3=Run until heating side satisfied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</si>
</sst>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0"/>
      <name val="Arial"/>
      <family val="2"/>
    </font>
    <font>
      <sz val="12"/>
      <name val="Arial"/>
      <family val="2"/>
    </font>
    <font>
      <sz val="10"/>
      <name val="Arial"/>
      <family val="2"/>
    </font>
    <font>
      <b/>
      <sz val="10"/>
      <name val="Arial"/>
      <family val="2"/>
    </font>
    <font>
      <b/>
      <sz val="22"/>
      <color theme="4" tint="-0.249977111117893"/>
      <name val="Arial"/>
      <family val="2"/>
    </font>
    <font>
      <sz val="22"/>
      <color theme="4" tint="-0.249977111117893"/>
      <name val="Arial"/>
      <family val="2"/>
    </font>
    <font>
      <b/>
      <sz val="9"/>
      <color indexed="81"/>
      <name val="Tahoma"/>
      <family val="2"/>
    </font>
    <font>
      <sz val="10"/>
      <color rgb="FF3F3F76"/>
      <name val="Arial"/>
      <family val="2"/>
    </font>
    <font>
      <sz val="8"/>
      <name val="Arial"/>
      <family val="2"/>
    </font>
    <font>
      <sz val="20"/>
      <name val="Arial"/>
      <family val="2"/>
    </font>
  </fonts>
  <fills count="6">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rgb="FFFFCC99"/>
      </patternFill>
    </fill>
  </fills>
  <borders count="43">
    <border>
      <left/>
      <right/>
      <top/>
      <bottom/>
      <diagonal/>
    </border>
    <border>
      <left style="thin">
        <color indexed="8"/>
      </left>
      <right style="thin">
        <color indexed="8"/>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8"/>
      </left>
      <right/>
      <top/>
      <bottom style="thin">
        <color indexed="8"/>
      </bottom>
      <diagonal/>
    </border>
    <border>
      <left style="medium">
        <color indexed="64"/>
      </left>
      <right style="thin">
        <color indexed="8"/>
      </right>
      <top style="thin">
        <color indexed="64"/>
      </top>
      <bottom style="thin">
        <color indexed="8"/>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8"/>
      </right>
      <top style="thin">
        <color indexed="64"/>
      </top>
      <bottom style="thin">
        <color indexed="64"/>
      </bottom>
      <diagonal/>
    </border>
    <border>
      <left style="thin">
        <color indexed="8"/>
      </left>
      <right style="thin">
        <color indexed="8"/>
      </right>
      <top style="thin">
        <color indexed="8"/>
      </top>
      <bottom style="thin">
        <color indexed="64"/>
      </bottom>
      <diagonal/>
    </border>
    <border>
      <left style="thin">
        <color indexed="8"/>
      </left>
      <right style="thin">
        <color indexed="64"/>
      </right>
      <top style="thin">
        <color indexed="8"/>
      </top>
      <bottom style="thin">
        <color indexed="64"/>
      </bottom>
      <diagonal/>
    </border>
    <border>
      <left style="thin">
        <color indexed="64"/>
      </left>
      <right/>
      <top/>
      <bottom style="thin">
        <color indexed="64"/>
      </bottom>
      <diagonal/>
    </border>
    <border>
      <left style="medium">
        <color indexed="64"/>
      </left>
      <right style="thin">
        <color indexed="8"/>
      </right>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64"/>
      </left>
      <right style="thin">
        <color indexed="8"/>
      </right>
      <top style="thin">
        <color indexed="8"/>
      </top>
      <bottom style="thin">
        <color indexed="64"/>
      </bottom>
      <diagonal/>
    </border>
    <border>
      <left style="medium">
        <color indexed="64"/>
      </left>
      <right style="thin">
        <color indexed="64"/>
      </right>
      <top style="thin">
        <color indexed="8"/>
      </top>
      <bottom style="thin">
        <color indexed="64"/>
      </bottom>
      <diagonal/>
    </border>
    <border>
      <left style="medium">
        <color indexed="64"/>
      </left>
      <right style="thin">
        <color indexed="8"/>
      </right>
      <top style="thin">
        <color indexed="8"/>
      </top>
      <bottom style="thin">
        <color indexed="64"/>
      </bottom>
      <diagonal/>
    </border>
    <border>
      <left style="thin">
        <color indexed="8"/>
      </left>
      <right style="thin">
        <color indexed="8"/>
      </right>
      <top style="thin">
        <color indexed="64"/>
      </top>
      <bottom style="thin">
        <color indexed="64"/>
      </bottom>
      <diagonal/>
    </border>
    <border>
      <left/>
      <right style="thin">
        <color indexed="64"/>
      </right>
      <top/>
      <bottom style="thin">
        <color indexed="64"/>
      </bottom>
      <diagonal/>
    </border>
    <border>
      <left style="thin">
        <color indexed="8"/>
      </left>
      <right style="thin">
        <color indexed="8"/>
      </right>
      <top/>
      <bottom style="thin">
        <color indexed="64"/>
      </bottom>
      <diagonal/>
    </border>
    <border>
      <left/>
      <right style="thin">
        <color indexed="8"/>
      </right>
      <top/>
      <bottom style="thin">
        <color indexed="64"/>
      </bottom>
      <diagonal/>
    </border>
    <border>
      <left/>
      <right style="thin">
        <color indexed="8"/>
      </right>
      <top style="thin">
        <color indexed="64"/>
      </top>
      <bottom style="thin">
        <color indexed="64"/>
      </bottom>
      <diagonal/>
    </border>
    <border>
      <left style="thin">
        <color indexed="8"/>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8"/>
      </left>
      <right/>
      <top style="thin">
        <color indexed="8"/>
      </top>
      <bottom style="thin">
        <color indexed="64"/>
      </bottom>
      <diagonal/>
    </border>
    <border>
      <left/>
      <right/>
      <top/>
      <bottom style="thin">
        <color indexed="8"/>
      </bottom>
      <diagonal/>
    </border>
    <border>
      <left/>
      <right/>
      <top style="thin">
        <color indexed="8"/>
      </top>
      <bottom style="thin">
        <color indexed="8"/>
      </bottom>
      <diagonal/>
    </border>
    <border>
      <left/>
      <right/>
      <top style="thin">
        <color indexed="8"/>
      </top>
      <bottom/>
      <diagonal/>
    </border>
    <border>
      <left style="thin">
        <color indexed="64"/>
      </left>
      <right/>
      <top style="thin">
        <color indexed="8"/>
      </top>
      <bottom style="thin">
        <color indexed="64"/>
      </bottom>
      <diagonal/>
    </border>
    <border>
      <left style="thin">
        <color indexed="8"/>
      </left>
      <right/>
      <top style="thin">
        <color indexed="64"/>
      </top>
      <bottom style="thin">
        <color indexed="64"/>
      </bottom>
      <diagonal/>
    </border>
    <border>
      <left style="medium">
        <color indexed="64"/>
      </left>
      <right style="thin">
        <color indexed="8"/>
      </right>
      <top style="thin">
        <color indexed="8"/>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2" fillId="0" borderId="0"/>
    <xf numFmtId="0" fontId="7" fillId="5" borderId="42" applyNumberFormat="0" applyAlignment="0" applyProtection="0"/>
  </cellStyleXfs>
  <cellXfs count="105">
    <xf numFmtId="0" fontId="0" fillId="0" borderId="0" xfId="0"/>
    <xf numFmtId="0" fontId="0" fillId="0" borderId="2" xfId="1" applyFont="1" applyBorder="1" applyAlignment="1">
      <alignment horizontal="left"/>
    </xf>
    <xf numFmtId="0" fontId="0" fillId="0" borderId="3" xfId="1" applyFont="1" applyBorder="1" applyAlignment="1">
      <alignment horizontal="left"/>
    </xf>
    <xf numFmtId="0" fontId="2" fillId="0" borderId="0" xfId="1"/>
    <xf numFmtId="0" fontId="0" fillId="0" borderId="5" xfId="1" applyFont="1" applyBorder="1" applyAlignment="1">
      <alignment horizontal="center"/>
    </xf>
    <xf numFmtId="0" fontId="0" fillId="2" borderId="4" xfId="1" applyFont="1" applyFill="1" applyBorder="1" applyAlignment="1">
      <alignment horizontal="center"/>
    </xf>
    <xf numFmtId="0" fontId="0" fillId="0" borderId="1" xfId="1" applyFont="1" applyBorder="1" applyAlignment="1">
      <alignment horizontal="center"/>
    </xf>
    <xf numFmtId="0" fontId="0" fillId="4" borderId="4" xfId="1" applyFont="1" applyFill="1" applyBorder="1" applyAlignment="1">
      <alignment horizontal="center"/>
    </xf>
    <xf numFmtId="0" fontId="0" fillId="0" borderId="6" xfId="1" applyFont="1" applyBorder="1" applyAlignment="1">
      <alignment horizontal="left"/>
    </xf>
    <xf numFmtId="0" fontId="0" fillId="2" borderId="12" xfId="1" applyFont="1" applyFill="1" applyBorder="1" applyAlignment="1">
      <alignment horizontal="center"/>
    </xf>
    <xf numFmtId="0" fontId="2" fillId="0" borderId="0" xfId="1" applyAlignment="1">
      <alignment horizontal="center"/>
    </xf>
    <xf numFmtId="0" fontId="0" fillId="0" borderId="11" xfId="1" applyFont="1" applyBorder="1" applyProtection="1">
      <protection locked="0"/>
    </xf>
    <xf numFmtId="0" fontId="0" fillId="0" borderId="13" xfId="1" applyFont="1" applyBorder="1" applyProtection="1">
      <protection locked="0"/>
    </xf>
    <xf numFmtId="0" fontId="0" fillId="2" borderId="14" xfId="1" applyFont="1" applyFill="1" applyBorder="1" applyAlignment="1">
      <alignment horizontal="center"/>
    </xf>
    <xf numFmtId="0" fontId="2" fillId="0" borderId="11" xfId="1" applyBorder="1"/>
    <xf numFmtId="0" fontId="2" fillId="0" borderId="13" xfId="1" applyBorder="1"/>
    <xf numFmtId="0" fontId="0" fillId="0" borderId="15" xfId="1" applyFont="1" applyBorder="1" applyProtection="1">
      <protection locked="0"/>
    </xf>
    <xf numFmtId="0" fontId="0" fillId="0" borderId="16" xfId="1" applyFont="1" applyBorder="1" applyAlignment="1">
      <alignment horizontal="left"/>
    </xf>
    <xf numFmtId="0" fontId="0" fillId="2" borderId="17" xfId="1" applyFont="1" applyFill="1" applyBorder="1" applyAlignment="1">
      <alignment horizontal="center"/>
    </xf>
    <xf numFmtId="0" fontId="0" fillId="0" borderId="18" xfId="1" applyFont="1" applyBorder="1" applyAlignment="1">
      <alignment horizontal="center"/>
    </xf>
    <xf numFmtId="0" fontId="0" fillId="0" borderId="19" xfId="1" applyFont="1" applyBorder="1" applyAlignment="1">
      <alignment horizontal="center"/>
    </xf>
    <xf numFmtId="0" fontId="0" fillId="3" borderId="12" xfId="1" applyFont="1" applyFill="1" applyBorder="1" applyAlignment="1">
      <alignment horizontal="center"/>
    </xf>
    <xf numFmtId="0" fontId="0" fillId="4" borderId="12" xfId="1" applyFont="1" applyFill="1" applyBorder="1" applyAlignment="1">
      <alignment horizontal="center"/>
    </xf>
    <xf numFmtId="0" fontId="0" fillId="3" borderId="15" xfId="1" applyFont="1" applyFill="1" applyBorder="1" applyProtection="1">
      <protection locked="0"/>
    </xf>
    <xf numFmtId="0" fontId="0" fillId="3" borderId="21" xfId="1" applyFont="1" applyFill="1" applyBorder="1" applyAlignment="1">
      <alignment horizontal="left"/>
    </xf>
    <xf numFmtId="0" fontId="0" fillId="3" borderId="22" xfId="1" applyFont="1" applyFill="1" applyBorder="1" applyAlignment="1">
      <alignment horizontal="left"/>
    </xf>
    <xf numFmtId="0" fontId="0" fillId="3" borderId="23" xfId="1" applyFont="1" applyFill="1" applyBorder="1" applyAlignment="1">
      <alignment horizontal="center"/>
    </xf>
    <xf numFmtId="0" fontId="0" fillId="3" borderId="11" xfId="1" applyFont="1" applyFill="1" applyBorder="1" applyProtection="1">
      <protection locked="0"/>
    </xf>
    <xf numFmtId="0" fontId="0" fillId="3" borderId="13" xfId="1" applyFont="1" applyFill="1" applyBorder="1" applyProtection="1">
      <protection locked="0"/>
    </xf>
    <xf numFmtId="0" fontId="0" fillId="0" borderId="24" xfId="1" applyFont="1" applyBorder="1" applyAlignment="1">
      <alignment horizontal="center"/>
    </xf>
    <xf numFmtId="0" fontId="0" fillId="0" borderId="25" xfId="1" applyFont="1" applyBorder="1" applyAlignment="1">
      <alignment horizontal="left"/>
    </xf>
    <xf numFmtId="0" fontId="0" fillId="0" borderId="20" xfId="1" applyFont="1" applyBorder="1" applyProtection="1">
      <protection locked="0"/>
    </xf>
    <xf numFmtId="0" fontId="0" fillId="0" borderId="22" xfId="1" applyFont="1" applyBorder="1" applyAlignment="1">
      <alignment horizontal="left"/>
    </xf>
    <xf numFmtId="0" fontId="0" fillId="0" borderId="26" xfId="1" applyFont="1" applyBorder="1" applyAlignment="1">
      <alignment horizontal="left"/>
    </xf>
    <xf numFmtId="0" fontId="3" fillId="4" borderId="27" xfId="1" applyFont="1" applyFill="1" applyBorder="1" applyAlignment="1">
      <alignment horizontal="center"/>
    </xf>
    <xf numFmtId="0" fontId="3" fillId="4" borderId="22" xfId="1" applyFont="1" applyFill="1" applyBorder="1" applyAlignment="1">
      <alignment horizontal="left"/>
    </xf>
    <xf numFmtId="0" fontId="0" fillId="2" borderId="23" xfId="1" applyFont="1" applyFill="1" applyBorder="1" applyAlignment="1">
      <alignment horizontal="center"/>
    </xf>
    <xf numFmtId="0" fontId="0" fillId="0" borderId="23" xfId="1" applyFont="1" applyBorder="1" applyAlignment="1">
      <alignment horizontal="center"/>
    </xf>
    <xf numFmtId="0" fontId="3" fillId="3" borderId="16" xfId="1" applyFont="1" applyFill="1" applyBorder="1"/>
    <xf numFmtId="0" fontId="0" fillId="0" borderId="4" xfId="1" applyFont="1" applyBorder="1" applyAlignment="1">
      <alignment horizontal="left"/>
    </xf>
    <xf numFmtId="0" fontId="2" fillId="0" borderId="4" xfId="1" applyBorder="1" applyAlignment="1">
      <alignment horizontal="left"/>
    </xf>
    <xf numFmtId="0" fontId="2" fillId="0" borderId="15" xfId="1" applyBorder="1"/>
    <xf numFmtId="0" fontId="3" fillId="4" borderId="21" xfId="1" applyFont="1" applyFill="1" applyBorder="1" applyAlignment="1">
      <alignment horizontal="left"/>
    </xf>
    <xf numFmtId="0" fontId="3" fillId="4" borderId="29" xfId="1" applyFont="1" applyFill="1" applyBorder="1" applyAlignment="1">
      <alignment horizontal="center"/>
    </xf>
    <xf numFmtId="0" fontId="0" fillId="0" borderId="15" xfId="1" applyFont="1" applyBorder="1"/>
    <xf numFmtId="0" fontId="3" fillId="4" borderId="30" xfId="1" applyFont="1" applyFill="1" applyBorder="1" applyAlignment="1">
      <alignment horizontal="left"/>
    </xf>
    <xf numFmtId="0" fontId="0" fillId="3" borderId="31" xfId="1" applyFont="1" applyFill="1" applyBorder="1" applyAlignment="1">
      <alignment horizontal="left"/>
    </xf>
    <xf numFmtId="0" fontId="0" fillId="3" borderId="14" xfId="1" applyFont="1" applyFill="1" applyBorder="1" applyProtection="1">
      <protection locked="0"/>
    </xf>
    <xf numFmtId="0" fontId="0" fillId="0" borderId="14" xfId="1" applyFont="1" applyBorder="1" applyProtection="1">
      <protection locked="0"/>
    </xf>
    <xf numFmtId="0" fontId="2" fillId="0" borderId="14" xfId="1" applyBorder="1"/>
    <xf numFmtId="0" fontId="2" fillId="0" borderId="15" xfId="1" applyBorder="1" applyAlignment="1">
      <alignment horizontal="center"/>
    </xf>
    <xf numFmtId="0" fontId="3" fillId="3" borderId="11" xfId="1" applyFont="1" applyFill="1" applyBorder="1"/>
    <xf numFmtId="0" fontId="3" fillId="3" borderId="14" xfId="1" applyFont="1" applyFill="1" applyBorder="1"/>
    <xf numFmtId="0" fontId="3" fillId="4" borderId="7" xfId="1" applyFont="1" applyFill="1" applyBorder="1"/>
    <xf numFmtId="0" fontId="3" fillId="4" borderId="13" xfId="1" applyFont="1" applyFill="1" applyBorder="1"/>
    <xf numFmtId="0" fontId="3" fillId="4" borderId="14" xfId="1" applyFont="1" applyFill="1" applyBorder="1"/>
    <xf numFmtId="0" fontId="0" fillId="0" borderId="10" xfId="1" applyFont="1" applyBorder="1" applyProtection="1">
      <protection locked="0"/>
    </xf>
    <xf numFmtId="0" fontId="3" fillId="4" borderId="11" xfId="1" applyFont="1" applyFill="1" applyBorder="1"/>
    <xf numFmtId="0" fontId="3" fillId="4" borderId="10" xfId="1" applyFont="1" applyFill="1" applyBorder="1"/>
    <xf numFmtId="0" fontId="0" fillId="3" borderId="10" xfId="1" applyFont="1" applyFill="1" applyBorder="1" applyProtection="1">
      <protection locked="0"/>
    </xf>
    <xf numFmtId="0" fontId="3" fillId="4" borderId="32" xfId="1" applyFont="1" applyFill="1" applyBorder="1" applyAlignment="1">
      <alignment horizontal="center"/>
    </xf>
    <xf numFmtId="0" fontId="5" fillId="0" borderId="0" xfId="1" applyFont="1" applyAlignment="1">
      <alignment vertical="center" wrapText="1"/>
    </xf>
    <xf numFmtId="0" fontId="0" fillId="0" borderId="0" xfId="1" applyFont="1"/>
    <xf numFmtId="0" fontId="0" fillId="0" borderId="4" xfId="1" applyFont="1" applyBorder="1"/>
    <xf numFmtId="0" fontId="0" fillId="3" borderId="11" xfId="1" applyFont="1" applyFill="1" applyBorder="1" applyAlignment="1">
      <alignment horizontal="center"/>
    </xf>
    <xf numFmtId="0" fontId="3" fillId="4" borderId="34" xfId="1" applyFont="1" applyFill="1" applyBorder="1"/>
    <xf numFmtId="0" fontId="0" fillId="0" borderId="35" xfId="1" applyFont="1" applyBorder="1" applyAlignment="1">
      <alignment horizontal="center"/>
    </xf>
    <xf numFmtId="0" fontId="0" fillId="0" borderId="36" xfId="1" applyFont="1" applyBorder="1" applyAlignment="1">
      <alignment horizontal="center"/>
    </xf>
    <xf numFmtId="0" fontId="0" fillId="0" borderId="37" xfId="1" applyFont="1" applyBorder="1" applyAlignment="1">
      <alignment horizontal="center"/>
    </xf>
    <xf numFmtId="0" fontId="0" fillId="0" borderId="38" xfId="1" applyFont="1" applyBorder="1" applyAlignment="1">
      <alignment horizontal="center"/>
    </xf>
    <xf numFmtId="0" fontId="0" fillId="0" borderId="39" xfId="1" applyFont="1" applyBorder="1" applyAlignment="1">
      <alignment horizontal="center"/>
    </xf>
    <xf numFmtId="0" fontId="3" fillId="4" borderId="40" xfId="1" applyFont="1" applyFill="1" applyBorder="1" applyAlignment="1">
      <alignment horizontal="center"/>
    </xf>
    <xf numFmtId="0" fontId="0" fillId="0" borderId="4" xfId="1" applyFont="1" applyBorder="1" applyProtection="1">
      <protection locked="0"/>
    </xf>
    <xf numFmtId="0" fontId="0" fillId="0" borderId="34" xfId="1" applyFont="1" applyBorder="1" applyProtection="1">
      <protection locked="0"/>
    </xf>
    <xf numFmtId="0" fontId="4" fillId="0" borderId="0" xfId="1" applyFont="1" applyAlignment="1">
      <alignment vertical="center"/>
    </xf>
    <xf numFmtId="0" fontId="3" fillId="4" borderId="30" xfId="1" applyFont="1" applyFill="1" applyBorder="1" applyAlignment="1">
      <alignment horizontal="center"/>
    </xf>
    <xf numFmtId="0" fontId="0" fillId="0" borderId="0" xfId="1" applyFont="1" applyAlignment="1">
      <alignment horizontal="center"/>
    </xf>
    <xf numFmtId="0" fontId="0" fillId="0" borderId="28" xfId="1" applyFont="1" applyBorder="1" applyProtection="1">
      <protection locked="0"/>
    </xf>
    <xf numFmtId="0" fontId="0" fillId="0" borderId="4" xfId="1" applyFont="1" applyBorder="1" applyAlignment="1">
      <alignment horizontal="center"/>
    </xf>
    <xf numFmtId="0" fontId="0" fillId="0" borderId="41" xfId="1" applyFont="1" applyBorder="1" applyAlignment="1">
      <alignment horizontal="left"/>
    </xf>
    <xf numFmtId="0" fontId="7" fillId="5" borderId="42" xfId="2" applyAlignment="1">
      <alignment horizontal="center"/>
    </xf>
    <xf numFmtId="0" fontId="7" fillId="5" borderId="42" xfId="2" applyAlignment="1">
      <alignment horizontal="left"/>
    </xf>
    <xf numFmtId="0" fontId="7" fillId="5" borderId="42" xfId="2"/>
    <xf numFmtId="0" fontId="7" fillId="5" borderId="42" xfId="2" applyAlignment="1"/>
    <xf numFmtId="0" fontId="0" fillId="0" borderId="15" xfId="1" applyFont="1" applyBorder="1" applyAlignment="1">
      <alignment horizontal="left"/>
    </xf>
    <xf numFmtId="0" fontId="0" fillId="0" borderId="33" xfId="1" applyFont="1" applyBorder="1" applyAlignment="1">
      <alignment horizontal="center"/>
    </xf>
    <xf numFmtId="0" fontId="0" fillId="0" borderId="0" xfId="0" applyAlignment="1">
      <alignment horizontal="center"/>
    </xf>
    <xf numFmtId="0" fontId="0" fillId="0" borderId="0" xfId="0" applyAlignment="1">
      <alignment horizontal="left"/>
    </xf>
    <xf numFmtId="0" fontId="2" fillId="0" borderId="4" xfId="1" applyBorder="1"/>
    <xf numFmtId="0" fontId="9" fillId="0" borderId="0" xfId="0" applyFont="1"/>
    <xf numFmtId="0" fontId="0" fillId="4" borderId="2" xfId="1" applyFont="1" applyFill="1" applyBorder="1" applyAlignment="1">
      <alignment horizontal="left"/>
    </xf>
    <xf numFmtId="0" fontId="0" fillId="4" borderId="16" xfId="1" applyFont="1" applyFill="1" applyBorder="1" applyAlignment="1">
      <alignment horizontal="left"/>
    </xf>
    <xf numFmtId="0" fontId="0" fillId="4" borderId="25" xfId="1" applyFont="1" applyFill="1" applyBorder="1" applyAlignment="1">
      <alignment horizontal="left"/>
    </xf>
    <xf numFmtId="0" fontId="0" fillId="4" borderId="3" xfId="1" applyFont="1" applyFill="1" applyBorder="1" applyAlignment="1">
      <alignment horizontal="left"/>
    </xf>
    <xf numFmtId="0" fontId="0" fillId="4" borderId="6" xfId="1" applyFont="1" applyFill="1" applyBorder="1" applyAlignment="1">
      <alignment horizontal="left"/>
    </xf>
    <xf numFmtId="0" fontId="3" fillId="4" borderId="7" xfId="1" applyFont="1" applyFill="1" applyBorder="1" applyAlignment="1">
      <alignment horizontal="center"/>
    </xf>
    <xf numFmtId="0" fontId="3" fillId="4" borderId="13" xfId="1" applyFont="1" applyFill="1" applyBorder="1" applyAlignment="1">
      <alignment horizontal="center"/>
    </xf>
    <xf numFmtId="0" fontId="3" fillId="4" borderId="14" xfId="1" applyFont="1" applyFill="1" applyBorder="1" applyAlignment="1">
      <alignment horizontal="center"/>
    </xf>
    <xf numFmtId="0" fontId="3" fillId="4" borderId="8" xfId="1" applyFont="1" applyFill="1" applyBorder="1" applyAlignment="1">
      <alignment horizontal="center"/>
    </xf>
    <xf numFmtId="0" fontId="3" fillId="4" borderId="15" xfId="1" applyFont="1" applyFill="1" applyBorder="1" applyAlignment="1">
      <alignment horizontal="center"/>
    </xf>
    <xf numFmtId="0" fontId="3" fillId="4" borderId="28" xfId="1" applyFont="1" applyFill="1" applyBorder="1" applyAlignment="1">
      <alignment horizontal="center"/>
    </xf>
    <xf numFmtId="0" fontId="3" fillId="4" borderId="11" xfId="1" applyFont="1" applyFill="1" applyBorder="1" applyAlignment="1">
      <alignment horizontal="center"/>
    </xf>
    <xf numFmtId="0" fontId="3" fillId="4" borderId="10" xfId="1" applyFont="1" applyFill="1" applyBorder="1" applyAlignment="1">
      <alignment horizontal="center"/>
    </xf>
    <xf numFmtId="0" fontId="3" fillId="4" borderId="20" xfId="1" applyFont="1" applyFill="1" applyBorder="1" applyAlignment="1">
      <alignment horizontal="center"/>
    </xf>
    <xf numFmtId="0" fontId="3" fillId="4" borderId="9" xfId="1" applyFont="1" applyFill="1" applyBorder="1" applyAlignment="1">
      <alignment horizontal="center"/>
    </xf>
  </cellXfs>
  <cellStyles count="3">
    <cellStyle name="Excel Built-in Normal" xfId="1" xr:uid="{00000000-0005-0000-0000-000000000000}"/>
    <cellStyle name="Normaali" xfId="0" builtinId="0"/>
    <cellStyle name="Syöttö" xfId="2" builtinId="2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Style="combo" dx="16" fmlaLink="$CA$1" fmlaRange="$CA$2:$CA$6" noThreeD="1" sel="1"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18</xdr:col>
      <xdr:colOff>304800</xdr:colOff>
      <xdr:row>15</xdr:row>
      <xdr:rowOff>38100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1277600" cy="2466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19050</xdr:colOff>
      <xdr:row>17</xdr:row>
      <xdr:rowOff>9525</xdr:rowOff>
    </xdr:from>
    <xdr:to>
      <xdr:col>14</xdr:col>
      <xdr:colOff>370364</xdr:colOff>
      <xdr:row>48</xdr:row>
      <xdr:rowOff>151755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9050" y="2762250"/>
          <a:ext cx="8885714" cy="51619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142047</xdr:colOff>
      <xdr:row>0</xdr:row>
      <xdr:rowOff>0</xdr:rowOff>
    </xdr:from>
    <xdr:to>
      <xdr:col>7</xdr:col>
      <xdr:colOff>1997763</xdr:colOff>
      <xdr:row>5</xdr:row>
      <xdr:rowOff>10522</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146938" y="0"/>
          <a:ext cx="3760716" cy="10292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2</xdr:col>
          <xdr:colOff>19050</xdr:colOff>
          <xdr:row>3</xdr:row>
          <xdr:rowOff>0</xdr:rowOff>
        </xdr:to>
        <xdr:sp macro="" textlink="">
          <xdr:nvSpPr>
            <xdr:cNvPr id="1031" name="DropDown1"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256228</xdr:colOff>
      <xdr:row>28</xdr:row>
      <xdr:rowOff>142290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0" y="0"/>
          <a:ext cx="7571428" cy="4676190"/>
        </a:xfrm>
        <a:prstGeom prst="rect">
          <a:avLst/>
        </a:prstGeom>
      </xdr:spPr>
    </xdr:pic>
    <xdr:clientData/>
  </xdr:twoCellAnchor>
  <xdr:twoCellAnchor editAs="oneCell">
    <xdr:from>
      <xdr:col>0</xdr:col>
      <xdr:colOff>0</xdr:colOff>
      <xdr:row>34</xdr:row>
      <xdr:rowOff>9525</xdr:rowOff>
    </xdr:from>
    <xdr:to>
      <xdr:col>28</xdr:col>
      <xdr:colOff>158931</xdr:colOff>
      <xdr:row>82</xdr:row>
      <xdr:rowOff>31351</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0" y="5514975"/>
          <a:ext cx="17227731" cy="7794226"/>
        </a:xfrm>
        <a:prstGeom prst="rect">
          <a:avLst/>
        </a:prstGeom>
      </xdr:spPr>
    </xdr:pic>
    <xdr:clientData/>
  </xdr:twoCellAnchor>
  <xdr:twoCellAnchor editAs="oneCell">
    <xdr:from>
      <xdr:col>0</xdr:col>
      <xdr:colOff>28575</xdr:colOff>
      <xdr:row>85</xdr:row>
      <xdr:rowOff>314325</xdr:rowOff>
    </xdr:from>
    <xdr:to>
      <xdr:col>23</xdr:col>
      <xdr:colOff>192480</xdr:colOff>
      <xdr:row>131</xdr:row>
      <xdr:rowOff>20071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3"/>
        <a:stretch>
          <a:fillRect/>
        </a:stretch>
      </xdr:blipFill>
      <xdr:spPr>
        <a:xfrm>
          <a:off x="28575" y="14077950"/>
          <a:ext cx="14184705" cy="7316221"/>
        </a:xfrm>
        <a:prstGeom prst="rect">
          <a:avLst/>
        </a:prstGeom>
      </xdr:spPr>
    </xdr:pic>
    <xdr:clientData/>
  </xdr:twoCellAnchor>
  <xdr:twoCellAnchor editAs="oneCell">
    <xdr:from>
      <xdr:col>0</xdr:col>
      <xdr:colOff>0</xdr:colOff>
      <xdr:row>134</xdr:row>
      <xdr:rowOff>0</xdr:rowOff>
    </xdr:from>
    <xdr:to>
      <xdr:col>22</xdr:col>
      <xdr:colOff>351633</xdr:colOff>
      <xdr:row>158</xdr:row>
      <xdr:rowOff>129833</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stretch>
          <a:fillRect/>
        </a:stretch>
      </xdr:blipFill>
      <xdr:spPr>
        <a:xfrm>
          <a:off x="0" y="22206857"/>
          <a:ext cx="13822704" cy="404869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405EE8-5B98-4B58-AFB2-FA3584A5016F}">
  <dimension ref="A1"/>
  <sheetViews>
    <sheetView topLeftCell="A4" workbookViewId="0">
      <selection activeCell="E27" sqref="E27"/>
    </sheetView>
  </sheetViews>
  <sheetFormatPr defaultRowHeight="12.75"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A254"/>
  <sheetViews>
    <sheetView tabSelected="1" topLeftCell="A73" zoomScale="115" zoomScaleNormal="115" zoomScaleSheetLayoutView="100" workbookViewId="0">
      <selection activeCell="E92" sqref="E92"/>
    </sheetView>
  </sheetViews>
  <sheetFormatPr defaultColWidth="8.7109375" defaultRowHeight="12.75" x14ac:dyDescent="0.2"/>
  <cols>
    <col min="1" max="1" width="42.7109375" style="3" customWidth="1"/>
    <col min="2" max="2" width="13.42578125" style="10" customWidth="1"/>
    <col min="3" max="3" width="9.28515625" style="3" customWidth="1"/>
    <col min="4" max="4" width="13.28515625" style="3" customWidth="1"/>
    <col min="5" max="5" width="11.28515625" style="10" customWidth="1"/>
    <col min="6" max="6" width="7.42578125" style="10" customWidth="1"/>
    <col min="7" max="7" width="21.140625" style="3" customWidth="1"/>
    <col min="8" max="8" width="128.140625" style="3" customWidth="1"/>
    <col min="9" max="9" width="32.42578125" style="3" bestFit="1" customWidth="1"/>
    <col min="10" max="10" width="10.7109375" style="3" bestFit="1" customWidth="1"/>
    <col min="11" max="15" width="8.7109375" style="3"/>
    <col min="16" max="16" width="44" style="3" customWidth="1"/>
    <col min="17" max="76" width="8.7109375" style="3"/>
    <col min="77" max="77" width="14.28515625" style="3" bestFit="1" customWidth="1"/>
    <col min="78" max="16384" width="8.7109375" style="3"/>
  </cols>
  <sheetData>
    <row r="1" spans="1:79" ht="27.75" x14ac:dyDescent="0.2">
      <c r="A1" s="74" t="s">
        <v>39</v>
      </c>
      <c r="B1" s="61"/>
      <c r="C1" s="61"/>
      <c r="D1" s="61"/>
      <c r="E1" s="3"/>
      <c r="F1" s="3"/>
      <c r="BY1" s="3" t="s">
        <v>263</v>
      </c>
      <c r="BZ1" s="3">
        <f>IF($CA$1=1,1,IF($CA$1=2,2,IF($CA$1=3,1,IF($CA$1=4,1,IF($CA$1=5,2)))))</f>
        <v>1</v>
      </c>
      <c r="CA1" s="3">
        <v>1</v>
      </c>
    </row>
    <row r="2" spans="1:79" x14ac:dyDescent="0.2">
      <c r="A2" s="53" t="s">
        <v>36</v>
      </c>
      <c r="B2" s="54"/>
      <c r="C2" s="54"/>
      <c r="D2" s="54"/>
      <c r="E2" s="55"/>
      <c r="F2" s="3"/>
      <c r="BY2" s="3" t="s">
        <v>264</v>
      </c>
      <c r="BZ2" s="3">
        <f>IF($CA$1=1,6,IF($CA$1=2,6,IF($CA$1=3,1,IF($CA$1=4,6,IF($CA$1=5,6)))))</f>
        <v>6</v>
      </c>
      <c r="CA2" s="62" t="s">
        <v>7</v>
      </c>
    </row>
    <row r="3" spans="1:79" x14ac:dyDescent="0.2">
      <c r="A3" s="82" t="s">
        <v>101</v>
      </c>
      <c r="B3" s="81" t="str">
        <f>IF($CA$1=1,"Modbus RTU",IF($CA$1=2,"Profibus",IF($CA$1=3,"Bacnet",IF($CA$1=4,"Modbus TCP"))))</f>
        <v>Modbus RTU</v>
      </c>
      <c r="C3" s="83" t="s">
        <v>240</v>
      </c>
      <c r="D3" s="83"/>
      <c r="E3" s="80">
        <v>1</v>
      </c>
      <c r="F3" s="3"/>
      <c r="CA3" s="62" t="s">
        <v>99</v>
      </c>
    </row>
    <row r="4" spans="1:79" x14ac:dyDescent="0.2">
      <c r="A4" s="38" t="s">
        <v>6</v>
      </c>
      <c r="B4" s="39" t="str">
        <f>IF($CA$1=1,"RS485",IF($CA$1=2,"DB",IF($CA$1=3,"Bacnet",IF($CA$1=4,"LAN cable",IF($CA$1=5,"LAN cable")))))</f>
        <v>RS485</v>
      </c>
      <c r="C4" s="51" t="s">
        <v>11</v>
      </c>
      <c r="D4" s="52"/>
      <c r="E4" s="39" t="str">
        <f>IF($CA$1=1,"None",IF($CA$1=2,"None",IF($CA$1=3,"None",IF($CA$1=4,"",IF($CA$1=5,"")))))</f>
        <v>None</v>
      </c>
      <c r="F4" s="3"/>
      <c r="CA4" s="62" t="s">
        <v>100</v>
      </c>
    </row>
    <row r="5" spans="1:79" x14ac:dyDescent="0.2">
      <c r="A5" s="38" t="s">
        <v>8</v>
      </c>
      <c r="B5" s="39" t="str">
        <f>IF($CA$1=1,"3",IF($CA$1=2,"",IF($CA$1=3,"",IF($CA$1=4,"3",IF($CA$1=5,"")))))</f>
        <v>3</v>
      </c>
      <c r="C5" s="51" t="s">
        <v>12</v>
      </c>
      <c r="D5" s="52"/>
      <c r="E5" s="39" t="str">
        <f>IF($CA$1=1,"8",IF($CA$1=2,"8",IF($CA$1=3,"8",IF($CA$1=4,"",IF($CA$1=5,"")))))</f>
        <v>8</v>
      </c>
      <c r="F5" s="3"/>
      <c r="CA5" s="62" t="s">
        <v>111</v>
      </c>
    </row>
    <row r="6" spans="1:79" x14ac:dyDescent="0.2">
      <c r="A6" s="38" t="s">
        <v>9</v>
      </c>
      <c r="B6" s="39" t="str">
        <f>IF($CA$1=1,"16",IF($CA$1=2,"",IF($CA$1=3,"",IF($CA$1=4,"16",IF($CA$1=5,"")))))</f>
        <v>16</v>
      </c>
      <c r="C6" s="51" t="s">
        <v>13</v>
      </c>
      <c r="D6" s="52"/>
      <c r="E6" s="39" t="str">
        <f>IF($CA$1=1,"1",IF($CA$1=2,"1",IF($CA$1=3,"1",IF($CA$1=4,"",IF($CA$1=5,"")))))</f>
        <v>1</v>
      </c>
      <c r="F6" s="3"/>
      <c r="CA6" s="62" t="s">
        <v>172</v>
      </c>
    </row>
    <row r="7" spans="1:79" x14ac:dyDescent="0.2">
      <c r="A7" s="38" t="s">
        <v>10</v>
      </c>
      <c r="B7" s="39" t="str">
        <f>IF($CA$1=1,"19200",IF($CA$1=2,"19200",IF($CA$1=3,"19200",IF($CA$1=4,"16",IF($CA$1=5,"")))))</f>
        <v>19200</v>
      </c>
      <c r="C7" s="51" t="s">
        <v>37</v>
      </c>
      <c r="D7" s="52"/>
      <c r="E7" s="63">
        <f>IF(E3&gt;BZ2,"NotSupported",IF($CA$1=1,"2000",IF($CA$1=2,"0",IF($CA$1=3,"0",IF($CA$1=4,"2000",IF($CA$1=5,"0")))))+(E3-1)*BZ1*2*100)</f>
        <v>2000</v>
      </c>
      <c r="F7" s="3"/>
    </row>
    <row r="8" spans="1:79" x14ac:dyDescent="0.2">
      <c r="A8" s="38" t="s">
        <v>93</v>
      </c>
      <c r="B8" s="40">
        <v>11</v>
      </c>
      <c r="C8" s="51" t="s">
        <v>38</v>
      </c>
      <c r="D8" s="52"/>
      <c r="E8" s="63">
        <f>IF(E3&gt;BZ2,"NotSupported",IF($CA$1=1,"2100",IF($CA$1=2,"200",IF($CA$1=3,"100",IF($CA$1=4,"2100",IF($CA$1=5,"200")))))+(E3-1)*BZ1*2*100)</f>
        <v>2100</v>
      </c>
      <c r="F8" s="3"/>
    </row>
    <row r="9" spans="1:79" x14ac:dyDescent="0.2">
      <c r="A9" s="38" t="s">
        <v>110</v>
      </c>
      <c r="B9" s="39" t="s">
        <v>173</v>
      </c>
      <c r="C9" s="51" t="s">
        <v>241</v>
      </c>
      <c r="D9" s="52"/>
      <c r="E9" s="63" t="s">
        <v>242</v>
      </c>
      <c r="F9" s="3"/>
    </row>
    <row r="10" spans="1:79" x14ac:dyDescent="0.2">
      <c r="A10" s="38" t="s">
        <v>259</v>
      </c>
      <c r="B10" s="10" t="s">
        <v>260</v>
      </c>
      <c r="C10" s="51" t="s">
        <v>261</v>
      </c>
      <c r="D10" s="52"/>
      <c r="E10" s="10" t="s">
        <v>262</v>
      </c>
    </row>
    <row r="11" spans="1:79" x14ac:dyDescent="0.2">
      <c r="A11" s="44" t="s">
        <v>399</v>
      </c>
      <c r="B11" s="50"/>
      <c r="C11" s="44"/>
      <c r="D11" s="44"/>
      <c r="E11" s="50"/>
      <c r="F11" s="50"/>
      <c r="G11" s="41"/>
      <c r="H11" s="41"/>
      <c r="I11" s="41"/>
      <c r="J11" s="41"/>
      <c r="K11" s="41"/>
      <c r="L11" s="41"/>
      <c r="M11" s="41"/>
      <c r="N11" s="41"/>
      <c r="O11" s="41"/>
      <c r="P11" s="41"/>
    </row>
    <row r="12" spans="1:79" x14ac:dyDescent="0.2">
      <c r="A12" s="95" t="s">
        <v>69</v>
      </c>
      <c r="B12" s="96"/>
      <c r="C12" s="96"/>
      <c r="D12" s="96"/>
      <c r="E12" s="96"/>
      <c r="F12" s="96"/>
      <c r="G12" s="96"/>
      <c r="H12" s="97"/>
      <c r="I12" s="101" t="s">
        <v>70</v>
      </c>
      <c r="J12" s="96"/>
      <c r="K12" s="96"/>
      <c r="L12" s="96"/>
      <c r="M12" s="96"/>
      <c r="N12" s="96"/>
      <c r="O12" s="96"/>
      <c r="P12" s="102"/>
    </row>
    <row r="13" spans="1:79" x14ac:dyDescent="0.2">
      <c r="A13" s="42" t="s">
        <v>0</v>
      </c>
      <c r="B13" s="43" t="s">
        <v>30</v>
      </c>
      <c r="C13" s="43" t="s">
        <v>1</v>
      </c>
      <c r="D13" s="60" t="s">
        <v>3</v>
      </c>
      <c r="E13" s="60" t="s">
        <v>0</v>
      </c>
      <c r="F13" s="65" t="s">
        <v>4</v>
      </c>
      <c r="G13" s="54"/>
      <c r="H13" s="55"/>
      <c r="I13" s="45" t="str">
        <f t="shared" ref="I13:N13" si="0">A13</f>
        <v>Symbol</v>
      </c>
      <c r="J13" s="45" t="str">
        <f t="shared" si="0"/>
        <v>Value type</v>
      </c>
      <c r="K13" s="45" t="str">
        <f t="shared" si="0"/>
        <v>Address</v>
      </c>
      <c r="L13" s="75" t="str">
        <f t="shared" si="0"/>
        <v>Unit</v>
      </c>
      <c r="M13" s="45" t="str">
        <f t="shared" si="0"/>
        <v>Symbol</v>
      </c>
      <c r="N13" s="45" t="str">
        <f t="shared" si="0"/>
        <v>Comment</v>
      </c>
      <c r="O13" s="54"/>
      <c r="P13" s="58"/>
    </row>
    <row r="14" spans="1:79" x14ac:dyDescent="0.2">
      <c r="A14" s="25" t="s">
        <v>79</v>
      </c>
      <c r="B14" s="26" t="s">
        <v>94</v>
      </c>
      <c r="C14" s="7">
        <f>$E$7+0</f>
        <v>2000</v>
      </c>
      <c r="D14" s="64"/>
      <c r="E14" s="64"/>
      <c r="F14" s="28"/>
      <c r="G14" s="28"/>
      <c r="H14" s="47"/>
      <c r="I14" s="46" t="str">
        <f>A14</f>
        <v>SendState</v>
      </c>
      <c r="J14" s="26" t="str">
        <f>IF(B14&lt;&gt;"",B14,"")</f>
        <v>WORD</v>
      </c>
      <c r="K14" s="22">
        <f>C14</f>
        <v>2000</v>
      </c>
      <c r="L14" s="26" t="str">
        <f>IF(D14&lt;&gt;"",D14,"")</f>
        <v/>
      </c>
      <c r="M14" s="26" t="str">
        <f>IF(E14&lt;&gt;"",E14,"")</f>
        <v/>
      </c>
      <c r="N14" s="27"/>
      <c r="O14" s="28"/>
      <c r="P14" s="59"/>
    </row>
    <row r="15" spans="1:79" x14ac:dyDescent="0.2">
      <c r="A15" s="90" t="s">
        <v>58</v>
      </c>
      <c r="B15" s="9" t="s">
        <v>31</v>
      </c>
      <c r="C15" s="6" t="s">
        <v>14</v>
      </c>
      <c r="D15" s="4"/>
      <c r="E15" s="4"/>
      <c r="F15" s="72" t="s">
        <v>62</v>
      </c>
      <c r="G15" s="16"/>
      <c r="H15" s="48"/>
      <c r="I15" s="11" t="str">
        <f>IF(ISBLANK(A23),"",A23)</f>
        <v/>
      </c>
      <c r="J15" s="9" t="str">
        <f>IF(B15&lt;&gt;"",B15,"")</f>
        <v>BIT</v>
      </c>
      <c r="K15" s="6" t="s">
        <v>14</v>
      </c>
      <c r="L15" s="9" t="str">
        <f>IF(D15&lt;&gt;"",D15,"")</f>
        <v/>
      </c>
      <c r="M15" s="9" t="str">
        <f>IF(E15&lt;&gt;"",E15,"")</f>
        <v/>
      </c>
      <c r="N15" s="11" t="str">
        <f t="shared" ref="N15:N22" si="1">IF(ISBLANK(F23),"",F23)</f>
        <v/>
      </c>
      <c r="O15" s="12"/>
      <c r="P15" s="56"/>
    </row>
    <row r="16" spans="1:79" x14ac:dyDescent="0.2">
      <c r="A16" s="90" t="s">
        <v>59</v>
      </c>
      <c r="B16" s="5" t="s">
        <v>31</v>
      </c>
      <c r="C16" s="6" t="s">
        <v>15</v>
      </c>
      <c r="D16" s="4"/>
      <c r="E16" s="4"/>
      <c r="F16" s="11" t="s">
        <v>61</v>
      </c>
      <c r="G16" s="12"/>
      <c r="H16" s="48"/>
      <c r="I16" s="11" t="str">
        <f t="shared" ref="I16:I22" si="2">IF(ISBLANK(A24),"",A24)</f>
        <v>Alarm_1comp1</v>
      </c>
      <c r="J16" s="9" t="str">
        <f t="shared" ref="J16:M30" si="3">IF(B16&lt;&gt;"",B16,"")</f>
        <v>BIT</v>
      </c>
      <c r="K16" s="6" t="s">
        <v>15</v>
      </c>
      <c r="L16" s="9" t="str">
        <f t="shared" si="3"/>
        <v/>
      </c>
      <c r="M16" s="9" t="str">
        <f t="shared" si="3"/>
        <v/>
      </c>
      <c r="N16" s="11" t="str">
        <f t="shared" si="1"/>
        <v/>
      </c>
      <c r="O16" s="12"/>
      <c r="P16" s="56"/>
    </row>
    <row r="17" spans="1:16" x14ac:dyDescent="0.2">
      <c r="A17" s="30" t="s">
        <v>60</v>
      </c>
      <c r="B17" s="5" t="s">
        <v>31</v>
      </c>
      <c r="C17" s="6" t="s">
        <v>16</v>
      </c>
      <c r="D17" s="4"/>
      <c r="E17" s="4"/>
      <c r="F17" s="11" t="s">
        <v>63</v>
      </c>
      <c r="G17" s="12"/>
      <c r="H17" s="48"/>
      <c r="I17" s="11" t="str">
        <f t="shared" si="2"/>
        <v>Alarm_1comp2</v>
      </c>
      <c r="J17" s="9" t="str">
        <f t="shared" si="3"/>
        <v>BIT</v>
      </c>
      <c r="K17" s="6" t="s">
        <v>16</v>
      </c>
      <c r="L17" s="9" t="str">
        <f t="shared" si="3"/>
        <v/>
      </c>
      <c r="M17" s="9" t="str">
        <f t="shared" si="3"/>
        <v/>
      </c>
      <c r="N17" s="11" t="str">
        <f t="shared" si="1"/>
        <v/>
      </c>
      <c r="O17" s="12"/>
      <c r="P17" s="56"/>
    </row>
    <row r="18" spans="1:16" x14ac:dyDescent="0.2">
      <c r="A18" s="32" t="s">
        <v>52</v>
      </c>
      <c r="B18" s="13" t="s">
        <v>31</v>
      </c>
      <c r="C18" s="6" t="s">
        <v>17</v>
      </c>
      <c r="D18" s="4"/>
      <c r="E18" s="4"/>
      <c r="F18" s="72" t="s">
        <v>75</v>
      </c>
      <c r="G18" s="12"/>
      <c r="H18" s="48"/>
      <c r="I18" s="11" t="str">
        <f t="shared" si="2"/>
        <v>Alarm_1comp3</v>
      </c>
      <c r="J18" s="9" t="str">
        <f t="shared" si="3"/>
        <v>BIT</v>
      </c>
      <c r="K18" s="6" t="s">
        <v>17</v>
      </c>
      <c r="L18" s="9" t="str">
        <f t="shared" si="3"/>
        <v/>
      </c>
      <c r="M18" s="9" t="str">
        <f t="shared" si="3"/>
        <v/>
      </c>
      <c r="N18" s="11" t="str">
        <f t="shared" si="1"/>
        <v/>
      </c>
      <c r="O18" s="12"/>
      <c r="P18" s="56"/>
    </row>
    <row r="19" spans="1:16" x14ac:dyDescent="0.2">
      <c r="A19" s="17" t="s">
        <v>252</v>
      </c>
      <c r="B19" s="5" t="s">
        <v>31</v>
      </c>
      <c r="C19" s="6" t="s">
        <v>18</v>
      </c>
      <c r="D19" s="4"/>
      <c r="E19" s="4" t="s">
        <v>154</v>
      </c>
      <c r="F19" s="11" t="s">
        <v>118</v>
      </c>
      <c r="G19" s="12"/>
      <c r="H19" s="48"/>
      <c r="I19" s="11" t="str">
        <f t="shared" si="2"/>
        <v>Alarm_2comp1</v>
      </c>
      <c r="J19" s="9" t="str">
        <f t="shared" si="3"/>
        <v>BIT</v>
      </c>
      <c r="K19" s="6" t="s">
        <v>18</v>
      </c>
      <c r="L19" s="9" t="str">
        <f t="shared" si="3"/>
        <v/>
      </c>
      <c r="M19" s="9" t="str">
        <f t="shared" si="3"/>
        <v>1FS11</v>
      </c>
      <c r="N19" s="11" t="str">
        <f t="shared" si="1"/>
        <v/>
      </c>
      <c r="O19" s="12"/>
      <c r="P19" s="56"/>
    </row>
    <row r="20" spans="1:16" x14ac:dyDescent="0.2">
      <c r="A20" s="17" t="s">
        <v>256</v>
      </c>
      <c r="B20" s="5" t="s">
        <v>31</v>
      </c>
      <c r="C20" s="6" t="s">
        <v>19</v>
      </c>
      <c r="D20" s="4"/>
      <c r="E20" s="4"/>
      <c r="F20" s="11" t="s">
        <v>119</v>
      </c>
      <c r="G20" s="12"/>
      <c r="H20" s="48"/>
      <c r="I20" s="11" t="str">
        <f t="shared" si="2"/>
        <v>Alarm_2comp2</v>
      </c>
      <c r="J20" s="9" t="str">
        <f t="shared" si="3"/>
        <v>BIT</v>
      </c>
      <c r="K20" s="6" t="s">
        <v>19</v>
      </c>
      <c r="L20" s="9" t="str">
        <f t="shared" si="3"/>
        <v/>
      </c>
      <c r="M20" s="9" t="str">
        <f t="shared" si="3"/>
        <v/>
      </c>
      <c r="N20" s="11" t="str">
        <f t="shared" si="1"/>
        <v/>
      </c>
      <c r="O20" s="12"/>
      <c r="P20" s="56"/>
    </row>
    <row r="21" spans="1:16" x14ac:dyDescent="0.2">
      <c r="A21" s="91" t="s">
        <v>49</v>
      </c>
      <c r="B21" s="5" t="s">
        <v>31</v>
      </c>
      <c r="C21" s="6" t="s">
        <v>20</v>
      </c>
      <c r="D21" s="4"/>
      <c r="E21" s="4"/>
      <c r="F21" s="11" t="s">
        <v>120</v>
      </c>
      <c r="G21" s="12"/>
      <c r="H21" s="48"/>
      <c r="I21" s="11" t="str">
        <f t="shared" si="2"/>
        <v>Alarm_2comp3</v>
      </c>
      <c r="J21" s="9" t="str">
        <f t="shared" si="3"/>
        <v>BIT</v>
      </c>
      <c r="K21" s="6" t="s">
        <v>20</v>
      </c>
      <c r="L21" s="9" t="str">
        <f t="shared" si="3"/>
        <v/>
      </c>
      <c r="M21" s="9" t="str">
        <f t="shared" si="3"/>
        <v/>
      </c>
      <c r="N21" s="11" t="str">
        <f t="shared" si="1"/>
        <v/>
      </c>
      <c r="O21" s="12"/>
      <c r="P21" s="56"/>
    </row>
    <row r="22" spans="1:16" x14ac:dyDescent="0.2">
      <c r="A22" s="90" t="s">
        <v>117</v>
      </c>
      <c r="B22" s="5" t="s">
        <v>31</v>
      </c>
      <c r="C22" s="6" t="s">
        <v>21</v>
      </c>
      <c r="D22" s="4"/>
      <c r="E22" s="4"/>
      <c r="F22" s="11" t="s">
        <v>121</v>
      </c>
      <c r="G22" s="12"/>
      <c r="H22" s="48"/>
      <c r="I22" s="11" t="str">
        <f t="shared" si="2"/>
        <v>CommCheck</v>
      </c>
      <c r="J22" s="9" t="str">
        <f t="shared" si="3"/>
        <v>BIT</v>
      </c>
      <c r="K22" s="6" t="s">
        <v>21</v>
      </c>
      <c r="L22" s="9" t="str">
        <f t="shared" si="3"/>
        <v/>
      </c>
      <c r="M22" s="9" t="str">
        <f t="shared" si="3"/>
        <v/>
      </c>
      <c r="N22" s="11" t="str">
        <f t="shared" si="1"/>
        <v>Alternates state with 10s interval. Communication check</v>
      </c>
      <c r="O22" s="12"/>
      <c r="P22" s="56"/>
    </row>
    <row r="23" spans="1:16" x14ac:dyDescent="0.2">
      <c r="A23" s="1"/>
      <c r="B23" s="5" t="s">
        <v>31</v>
      </c>
      <c r="C23" s="6" t="s">
        <v>22</v>
      </c>
      <c r="D23" s="4"/>
      <c r="E23" s="4"/>
      <c r="F23" s="11"/>
      <c r="G23" s="12"/>
      <c r="H23" s="48"/>
      <c r="I23" s="11" t="str">
        <f>IF(ISBLANK(A15),"",A15)</f>
        <v>ActiveAlarm</v>
      </c>
      <c r="J23" s="9" t="str">
        <f t="shared" si="3"/>
        <v>BIT</v>
      </c>
      <c r="K23" s="6" t="s">
        <v>22</v>
      </c>
      <c r="L23" s="9" t="str">
        <f t="shared" si="3"/>
        <v/>
      </c>
      <c r="M23" s="9" t="str">
        <f t="shared" si="3"/>
        <v/>
      </c>
      <c r="N23" s="11" t="str">
        <f t="shared" ref="N23:N30" si="4">IF(ISBLANK(F15),"",F15)</f>
        <v>Needs acknowledgement before compressor(s) starts again</v>
      </c>
      <c r="O23" s="12"/>
      <c r="P23" s="56"/>
    </row>
    <row r="24" spans="1:16" x14ac:dyDescent="0.2">
      <c r="A24" s="90" t="s">
        <v>318</v>
      </c>
      <c r="B24" s="5" t="s">
        <v>31</v>
      </c>
      <c r="C24" s="6" t="s">
        <v>23</v>
      </c>
      <c r="D24" s="4"/>
      <c r="E24" s="4" t="s">
        <v>148</v>
      </c>
      <c r="F24" s="11"/>
      <c r="G24" s="12"/>
      <c r="H24" s="48"/>
      <c r="I24" s="11" t="str">
        <f t="shared" ref="I24:I30" si="5">IF(ISBLANK(A16),"",A16)</f>
        <v>ActiveWarning</v>
      </c>
      <c r="J24" s="9" t="str">
        <f t="shared" si="3"/>
        <v>BIT</v>
      </c>
      <c r="K24" s="6" t="s">
        <v>23</v>
      </c>
      <c r="L24" s="9" t="str">
        <f t="shared" si="3"/>
        <v/>
      </c>
      <c r="M24" s="9" t="str">
        <f t="shared" si="3"/>
        <v>1comp1</v>
      </c>
      <c r="N24" s="11" t="str">
        <f t="shared" si="4"/>
        <v>Compressor(s) stopped, but will start automatically again</v>
      </c>
      <c r="O24" s="12"/>
      <c r="P24" s="56"/>
    </row>
    <row r="25" spans="1:16" x14ac:dyDescent="0.2">
      <c r="A25" s="90" t="s">
        <v>319</v>
      </c>
      <c r="B25" s="5" t="s">
        <v>31</v>
      </c>
      <c r="C25" s="6" t="s">
        <v>24</v>
      </c>
      <c r="D25" s="4"/>
      <c r="E25" s="4" t="s">
        <v>149</v>
      </c>
      <c r="F25" s="11"/>
      <c r="G25" s="12"/>
      <c r="H25" s="48"/>
      <c r="I25" s="11" t="str">
        <f t="shared" si="5"/>
        <v>ActiveLimiter</v>
      </c>
      <c r="J25" s="9" t="str">
        <f t="shared" si="3"/>
        <v>BIT</v>
      </c>
      <c r="K25" s="6" t="s">
        <v>24</v>
      </c>
      <c r="L25" s="9" t="str">
        <f t="shared" si="3"/>
        <v/>
      </c>
      <c r="M25" s="9" t="str">
        <f t="shared" si="3"/>
        <v>1comp2</v>
      </c>
      <c r="N25" s="11" t="str">
        <f t="shared" si="4"/>
        <v>Low evaporating temperature or high condensing temperature limiting power</v>
      </c>
      <c r="O25" s="12"/>
      <c r="P25" s="56"/>
    </row>
    <row r="26" spans="1:16" x14ac:dyDescent="0.2">
      <c r="A26" s="90" t="s">
        <v>320</v>
      </c>
      <c r="B26" s="5" t="s">
        <v>31</v>
      </c>
      <c r="C26" s="6" t="s">
        <v>25</v>
      </c>
      <c r="D26" s="4"/>
      <c r="E26" s="4" t="s">
        <v>150</v>
      </c>
      <c r="F26" s="11"/>
      <c r="G26" s="12"/>
      <c r="H26" s="48"/>
      <c r="I26" s="11" t="str">
        <f t="shared" si="5"/>
        <v>WaitingForPermission</v>
      </c>
      <c r="J26" s="9" t="str">
        <f t="shared" si="3"/>
        <v>BIT</v>
      </c>
      <c r="K26" s="6" t="s">
        <v>25</v>
      </c>
      <c r="L26" s="9" t="str">
        <f t="shared" si="3"/>
        <v/>
      </c>
      <c r="M26" s="9" t="str">
        <f t="shared" si="3"/>
        <v>1comp3</v>
      </c>
      <c r="N26" s="11" t="str">
        <f t="shared" si="4"/>
        <v>Local start button is off, or remote stop is active</v>
      </c>
      <c r="O26" s="12"/>
      <c r="P26" s="56"/>
    </row>
    <row r="27" spans="1:16" x14ac:dyDescent="0.2">
      <c r="A27" s="90" t="s">
        <v>321</v>
      </c>
      <c r="B27" s="5" t="s">
        <v>31</v>
      </c>
      <c r="C27" s="6" t="s">
        <v>26</v>
      </c>
      <c r="D27" s="4"/>
      <c r="E27" s="4" t="s">
        <v>151</v>
      </c>
      <c r="F27" s="11"/>
      <c r="G27" s="12"/>
      <c r="H27" s="48"/>
      <c r="I27" s="11" t="str">
        <f t="shared" si="5"/>
        <v>ColdFlowWanted</v>
      </c>
      <c r="J27" s="9" t="str">
        <f t="shared" si="3"/>
        <v>BIT</v>
      </c>
      <c r="K27" s="6" t="s">
        <v>26</v>
      </c>
      <c r="L27" s="9" t="str">
        <f t="shared" si="3"/>
        <v/>
      </c>
      <c r="M27" s="9" t="str">
        <f t="shared" si="3"/>
        <v>2comp1</v>
      </c>
      <c r="N27" s="11" t="str">
        <f t="shared" si="4"/>
        <v>Can be used to start external cold side pump</v>
      </c>
      <c r="O27" s="12"/>
      <c r="P27" s="56"/>
    </row>
    <row r="28" spans="1:16" x14ac:dyDescent="0.2">
      <c r="A28" s="90" t="s">
        <v>322</v>
      </c>
      <c r="B28" s="5" t="s">
        <v>31</v>
      </c>
      <c r="C28" s="6" t="s">
        <v>27</v>
      </c>
      <c r="D28" s="4"/>
      <c r="E28" s="4" t="s">
        <v>152</v>
      </c>
      <c r="F28" s="11"/>
      <c r="G28" s="12"/>
      <c r="H28" s="48"/>
      <c r="I28" s="11" t="str">
        <f t="shared" si="5"/>
        <v>WarmFlowWanted</v>
      </c>
      <c r="J28" s="9" t="str">
        <f t="shared" si="3"/>
        <v>BIT</v>
      </c>
      <c r="K28" s="6" t="s">
        <v>27</v>
      </c>
      <c r="L28" s="9" t="str">
        <f t="shared" si="3"/>
        <v/>
      </c>
      <c r="M28" s="9" t="str">
        <f t="shared" si="3"/>
        <v>2comp2</v>
      </c>
      <c r="N28" s="11" t="str">
        <f t="shared" si="4"/>
        <v>Can be used to start external warm side pump</v>
      </c>
      <c r="O28" s="12"/>
      <c r="P28" s="56"/>
    </row>
    <row r="29" spans="1:16" x14ac:dyDescent="0.2">
      <c r="A29" s="92" t="s">
        <v>323</v>
      </c>
      <c r="B29" s="5" t="s">
        <v>31</v>
      </c>
      <c r="C29" s="6" t="s">
        <v>28</v>
      </c>
      <c r="D29" s="4"/>
      <c r="E29" s="4" t="s">
        <v>153</v>
      </c>
      <c r="F29" s="11"/>
      <c r="G29" s="12"/>
      <c r="H29" s="48"/>
      <c r="I29" s="11" t="str">
        <f t="shared" si="5"/>
        <v>Running</v>
      </c>
      <c r="J29" s="9" t="str">
        <f t="shared" si="3"/>
        <v>BIT</v>
      </c>
      <c r="K29" s="6" t="s">
        <v>28</v>
      </c>
      <c r="L29" s="9" t="str">
        <f t="shared" si="3"/>
        <v/>
      </c>
      <c r="M29" s="9" t="str">
        <f t="shared" si="3"/>
        <v>2comp3</v>
      </c>
      <c r="N29" s="11" t="str">
        <f t="shared" si="4"/>
        <v>At least one compressor running</v>
      </c>
      <c r="O29" s="12"/>
      <c r="P29" s="56"/>
    </row>
    <row r="30" spans="1:16" x14ac:dyDescent="0.2">
      <c r="A30" s="30" t="s">
        <v>33</v>
      </c>
      <c r="B30" s="18" t="s">
        <v>31</v>
      </c>
      <c r="C30" s="19" t="s">
        <v>29</v>
      </c>
      <c r="D30" s="66"/>
      <c r="E30" s="66"/>
      <c r="F30" s="11" t="s">
        <v>122</v>
      </c>
      <c r="G30" s="12"/>
      <c r="H30" s="48"/>
      <c r="I30" s="11" t="str">
        <f t="shared" si="5"/>
        <v>Ready</v>
      </c>
      <c r="J30" s="9" t="str">
        <f t="shared" si="3"/>
        <v>BIT</v>
      </c>
      <c r="K30" s="29" t="s">
        <v>29</v>
      </c>
      <c r="L30" s="9" t="str">
        <f t="shared" si="3"/>
        <v/>
      </c>
      <c r="M30" s="9" t="str">
        <f t="shared" si="3"/>
        <v/>
      </c>
      <c r="N30" s="11" t="str">
        <f t="shared" si="4"/>
        <v>Heat pump unit ready for operation. Waiting for start.</v>
      </c>
      <c r="O30" s="12"/>
      <c r="P30" s="56"/>
    </row>
    <row r="31" spans="1:16" x14ac:dyDescent="0.2">
      <c r="A31" s="24" t="s">
        <v>80</v>
      </c>
      <c r="B31" s="26" t="s">
        <v>94</v>
      </c>
      <c r="C31" s="7">
        <f>C14+IF(OR(B14="INT",B14="UINT",B14="WORD"),1,IF(OR(B14="DINT",B14="UDINT",B14="REAL",B14="FLOAT"),2,"xxx"))*IF(OR($CA$1=1,$CA$1=3,$CA$1=4),1,2)</f>
        <v>2001</v>
      </c>
      <c r="D31" s="21"/>
      <c r="E31" s="21"/>
      <c r="F31" s="27"/>
      <c r="G31" s="23"/>
      <c r="H31" s="47"/>
      <c r="I31" s="46" t="str">
        <f>A31</f>
        <v>Alarms</v>
      </c>
      <c r="J31" s="26" t="str">
        <f>B31</f>
        <v>WORD</v>
      </c>
      <c r="K31" s="22">
        <f>C31</f>
        <v>2001</v>
      </c>
      <c r="L31" s="64"/>
      <c r="M31" s="64"/>
      <c r="N31" s="27"/>
      <c r="O31" s="28"/>
      <c r="P31" s="59"/>
    </row>
    <row r="32" spans="1:16" x14ac:dyDescent="0.2">
      <c r="A32" s="1"/>
      <c r="B32" s="5" t="s">
        <v>31</v>
      </c>
      <c r="C32" s="6" t="s">
        <v>14</v>
      </c>
      <c r="D32" s="4"/>
      <c r="E32" s="4"/>
      <c r="F32" s="11"/>
      <c r="G32" s="16"/>
      <c r="H32" s="48"/>
      <c r="I32" s="11" t="str">
        <f>IF(ISBLANK(A40),"",A40)</f>
        <v>CompressorSafetyDeviceFault</v>
      </c>
      <c r="J32" s="9" t="str">
        <f>B32</f>
        <v>BIT</v>
      </c>
      <c r="K32" s="9" t="str">
        <f>C32</f>
        <v>.0</v>
      </c>
      <c r="L32" s="4"/>
      <c r="M32" s="4"/>
      <c r="N32" s="11" t="str">
        <f t="shared" ref="N32:N39" si="6">IF(ISBLANK(F40),"",F40)</f>
        <v>Can be:Low oil level, most often caused by compressor running too short periods, can also be because of too low pressure difference between suction and discharge side of compressor, or too low superheat.High motor temperature, most often caused by too low refrigerant flow through compressor, caused by too low minimum power combined with too high pressure difference between discharge and suction side.High discharge gas temperature, most often caused by too low refrigerant flow through compressor, caused by too low minimum power combined with too high pressure difference between discharge and suction side</v>
      </c>
      <c r="O32" s="12"/>
      <c r="P32" s="56"/>
    </row>
    <row r="33" spans="1:16" x14ac:dyDescent="0.2">
      <c r="A33" s="1" t="s">
        <v>51</v>
      </c>
      <c r="B33" s="5" t="s">
        <v>31</v>
      </c>
      <c r="C33" s="6" t="s">
        <v>15</v>
      </c>
      <c r="D33" s="4"/>
      <c r="E33" s="4" t="s">
        <v>155</v>
      </c>
      <c r="F33" s="11" t="s">
        <v>123</v>
      </c>
      <c r="G33" s="12"/>
      <c r="H33" s="48"/>
      <c r="I33" s="11" t="str">
        <f t="shared" ref="I33:I39" si="7">IF(ISBLANK(A41),"",A41)</f>
        <v>CompressorStarterFault</v>
      </c>
      <c r="J33" s="9" t="str">
        <f t="shared" ref="J33:K47" si="8">B33</f>
        <v>BIT</v>
      </c>
      <c r="K33" s="9" t="str">
        <f t="shared" si="8"/>
        <v>.1</v>
      </c>
      <c r="L33" s="4"/>
      <c r="M33" s="4"/>
      <c r="N33" s="11" t="str">
        <f t="shared" si="6"/>
        <v>VFD or Softstarter or motor thermal protection relay fault</v>
      </c>
      <c r="O33" s="12"/>
      <c r="P33" s="56"/>
    </row>
    <row r="34" spans="1:16" x14ac:dyDescent="0.2">
      <c r="A34" s="1" t="s">
        <v>50</v>
      </c>
      <c r="B34" s="5" t="s">
        <v>31</v>
      </c>
      <c r="C34" s="6" t="s">
        <v>16</v>
      </c>
      <c r="D34" s="4"/>
      <c r="E34" s="4" t="s">
        <v>156</v>
      </c>
      <c r="F34" s="11" t="s">
        <v>57</v>
      </c>
      <c r="G34" s="12"/>
      <c r="H34" s="48"/>
      <c r="I34" s="11" t="str">
        <f t="shared" si="7"/>
        <v>NoColdWaterFlow</v>
      </c>
      <c r="J34" s="9" t="str">
        <f t="shared" si="8"/>
        <v>BIT</v>
      </c>
      <c r="K34" s="9" t="str">
        <f t="shared" si="8"/>
        <v>.2</v>
      </c>
      <c r="L34" s="4"/>
      <c r="M34" s="4"/>
      <c r="N34" s="11" t="str">
        <f t="shared" si="6"/>
        <v>Check that cold water pump is running and valves are open. Check flow switch for local flow indication (red led = not enough flow, other leds = enough flow, no leds = flowswitch missing power or broken)</v>
      </c>
      <c r="O34" s="12"/>
      <c r="P34" s="56"/>
    </row>
    <row r="35" spans="1:16" x14ac:dyDescent="0.2">
      <c r="A35" s="1" t="s">
        <v>56</v>
      </c>
      <c r="B35" s="5" t="s">
        <v>31</v>
      </c>
      <c r="C35" s="6" t="s">
        <v>17</v>
      </c>
      <c r="D35" s="4"/>
      <c r="E35" s="4" t="s">
        <v>157</v>
      </c>
      <c r="F35" s="11" t="s">
        <v>115</v>
      </c>
      <c r="G35" s="12"/>
      <c r="H35" s="48"/>
      <c r="I35" s="11" t="str">
        <f t="shared" si="7"/>
        <v>FeedbackAlarm</v>
      </c>
      <c r="J35" s="9" t="str">
        <f t="shared" si="8"/>
        <v>BIT</v>
      </c>
      <c r="K35" s="9" t="str">
        <f t="shared" si="8"/>
        <v>.3</v>
      </c>
      <c r="L35" s="4"/>
      <c r="M35" s="4"/>
      <c r="N35" s="11" t="str">
        <f t="shared" si="6"/>
        <v>Compressor not starting when it should, or problem with feedback signal</v>
      </c>
      <c r="O35" s="12"/>
      <c r="P35" s="56"/>
    </row>
    <row r="36" spans="1:16" x14ac:dyDescent="0.2">
      <c r="A36" s="1" t="s">
        <v>159</v>
      </c>
      <c r="B36" s="5" t="s">
        <v>31</v>
      </c>
      <c r="C36" s="6" t="s">
        <v>18</v>
      </c>
      <c r="D36" s="4"/>
      <c r="E36" s="4" t="s">
        <v>158</v>
      </c>
      <c r="F36" s="11" t="s">
        <v>114</v>
      </c>
      <c r="G36" s="12"/>
      <c r="H36" s="48"/>
      <c r="I36" s="11" t="str">
        <f t="shared" si="7"/>
        <v/>
      </c>
      <c r="J36" s="9" t="str">
        <f t="shared" si="8"/>
        <v>BIT</v>
      </c>
      <c r="K36" s="9" t="str">
        <f t="shared" si="8"/>
        <v>.4</v>
      </c>
      <c r="L36" s="4"/>
      <c r="M36" s="4"/>
      <c r="N36" s="11" t="str">
        <f t="shared" si="6"/>
        <v/>
      </c>
      <c r="O36" s="12"/>
      <c r="P36" s="56"/>
    </row>
    <row r="37" spans="1:16" x14ac:dyDescent="0.2">
      <c r="A37" s="1" t="s">
        <v>116</v>
      </c>
      <c r="B37" s="5" t="s">
        <v>31</v>
      </c>
      <c r="C37" s="6" t="s">
        <v>19</v>
      </c>
      <c r="D37" s="4"/>
      <c r="E37" s="4" t="s">
        <v>160</v>
      </c>
      <c r="F37" s="11" t="s">
        <v>64</v>
      </c>
      <c r="G37" s="12"/>
      <c r="H37" s="48"/>
      <c r="I37" s="11" t="str">
        <f t="shared" si="7"/>
        <v/>
      </c>
      <c r="J37" s="9" t="str">
        <f t="shared" si="8"/>
        <v>BIT</v>
      </c>
      <c r="K37" s="9" t="str">
        <f t="shared" si="8"/>
        <v>.5</v>
      </c>
      <c r="L37" s="4"/>
      <c r="M37" s="4"/>
      <c r="N37" s="11" t="str">
        <f t="shared" si="6"/>
        <v/>
      </c>
      <c r="O37" s="12"/>
      <c r="P37" s="56"/>
    </row>
    <row r="38" spans="1:16" x14ac:dyDescent="0.2">
      <c r="A38" s="1" t="s">
        <v>112</v>
      </c>
      <c r="B38" s="5" t="s">
        <v>31</v>
      </c>
      <c r="C38" s="6" t="s">
        <v>20</v>
      </c>
      <c r="D38" s="4"/>
      <c r="E38" s="4" t="s">
        <v>161</v>
      </c>
      <c r="F38" s="11" t="s">
        <v>113</v>
      </c>
      <c r="G38" s="12"/>
      <c r="H38" s="48"/>
      <c r="I38" s="11" t="str">
        <f t="shared" si="7"/>
        <v/>
      </c>
      <c r="J38" s="9" t="str">
        <f t="shared" si="8"/>
        <v>BIT</v>
      </c>
      <c r="K38" s="9" t="str">
        <f t="shared" si="8"/>
        <v>.6</v>
      </c>
      <c r="L38" s="4"/>
      <c r="M38" s="4"/>
      <c r="N38" s="11" t="str">
        <f t="shared" si="6"/>
        <v/>
      </c>
      <c r="O38" s="12"/>
      <c r="P38" s="56"/>
    </row>
    <row r="39" spans="1:16" x14ac:dyDescent="0.2">
      <c r="A39" s="1" t="s">
        <v>65</v>
      </c>
      <c r="B39" s="5" t="s">
        <v>31</v>
      </c>
      <c r="C39" s="6" t="s">
        <v>21</v>
      </c>
      <c r="D39" s="4"/>
      <c r="E39" s="4" t="s">
        <v>162</v>
      </c>
      <c r="F39" s="11" t="s">
        <v>66</v>
      </c>
      <c r="G39" s="12"/>
      <c r="H39" s="48"/>
      <c r="I39" s="11" t="str">
        <f t="shared" si="7"/>
        <v/>
      </c>
      <c r="J39" s="9" t="str">
        <f t="shared" si="8"/>
        <v>BIT</v>
      </c>
      <c r="K39" s="9" t="str">
        <f t="shared" si="8"/>
        <v>.7</v>
      </c>
      <c r="L39" s="4"/>
      <c r="M39" s="4"/>
      <c r="N39" s="11" t="str">
        <f t="shared" si="6"/>
        <v/>
      </c>
      <c r="O39" s="12"/>
      <c r="P39" s="56"/>
    </row>
    <row r="40" spans="1:16" x14ac:dyDescent="0.2">
      <c r="A40" s="1" t="s">
        <v>71</v>
      </c>
      <c r="B40" s="5" t="s">
        <v>31</v>
      </c>
      <c r="C40" s="6" t="s">
        <v>22</v>
      </c>
      <c r="D40" s="4"/>
      <c r="E40" s="4"/>
      <c r="F40" s="11" t="s">
        <v>96</v>
      </c>
      <c r="G40" s="12"/>
      <c r="H40" s="48"/>
      <c r="I40" s="11" t="str">
        <f>IF(ISBLANK(A32),"",A32)</f>
        <v/>
      </c>
      <c r="J40" s="9" t="str">
        <f t="shared" si="8"/>
        <v>BIT</v>
      </c>
      <c r="K40" s="9" t="str">
        <f t="shared" si="8"/>
        <v>.8</v>
      </c>
      <c r="L40" s="4"/>
      <c r="M40" s="4"/>
      <c r="N40" s="11" t="str">
        <f t="shared" ref="N40:N47" si="9">IF(ISBLANK(F32),"",F32)</f>
        <v/>
      </c>
      <c r="O40" s="12"/>
      <c r="P40" s="56"/>
    </row>
    <row r="41" spans="1:16" x14ac:dyDescent="0.2">
      <c r="A41" s="1" t="s">
        <v>72</v>
      </c>
      <c r="B41" s="5" t="s">
        <v>31</v>
      </c>
      <c r="C41" s="6" t="s">
        <v>23</v>
      </c>
      <c r="D41" s="4"/>
      <c r="E41" s="4"/>
      <c r="F41" s="11" t="s">
        <v>73</v>
      </c>
      <c r="G41" s="12"/>
      <c r="H41" s="48"/>
      <c r="I41" s="11" t="str">
        <f t="shared" ref="I41:I47" si="10">IF(ISBLANK(A33),"",A33)</f>
        <v>GasDetectorAlarm</v>
      </c>
      <c r="J41" s="9" t="str">
        <f t="shared" si="8"/>
        <v>BIT</v>
      </c>
      <c r="K41" s="9" t="str">
        <f t="shared" si="8"/>
        <v>.9</v>
      </c>
      <c r="L41" s="4"/>
      <c r="M41" s="4"/>
      <c r="N41" s="11" t="str">
        <f t="shared" si="9"/>
        <v>Refrigerant leak detector alarm</v>
      </c>
      <c r="O41" s="12"/>
      <c r="P41" s="56"/>
    </row>
    <row r="42" spans="1:16" x14ac:dyDescent="0.2">
      <c r="A42" s="1" t="s">
        <v>86</v>
      </c>
      <c r="B42" s="5" t="s">
        <v>31</v>
      </c>
      <c r="C42" s="6" t="s">
        <v>24</v>
      </c>
      <c r="D42" s="4"/>
      <c r="E42" s="4" t="s">
        <v>154</v>
      </c>
      <c r="F42" s="11" t="s">
        <v>74</v>
      </c>
      <c r="G42" s="12"/>
      <c r="H42" s="48"/>
      <c r="I42" s="11" t="str">
        <f t="shared" si="10"/>
        <v>HighPressureSwitchAlarm</v>
      </c>
      <c r="J42" s="9" t="str">
        <f t="shared" si="8"/>
        <v>BIT</v>
      </c>
      <c r="K42" s="9" t="str">
        <f t="shared" si="8"/>
        <v>.10</v>
      </c>
      <c r="L42" s="4"/>
      <c r="M42" s="4"/>
      <c r="N42" s="11" t="str">
        <f t="shared" si="9"/>
        <v>High pressure switch tripped. Needs manual reset, green button behind heatpump side door</v>
      </c>
      <c r="O42" s="12"/>
      <c r="P42" s="56"/>
    </row>
    <row r="43" spans="1:16" x14ac:dyDescent="0.2">
      <c r="A43" s="1" t="s">
        <v>67</v>
      </c>
      <c r="B43" s="5" t="s">
        <v>31</v>
      </c>
      <c r="C43" s="6" t="s">
        <v>25</v>
      </c>
      <c r="D43" s="4"/>
      <c r="E43" s="4"/>
      <c r="F43" s="11" t="s">
        <v>68</v>
      </c>
      <c r="G43" s="12"/>
      <c r="H43" s="48"/>
      <c r="I43" s="72" t="str">
        <f t="shared" si="10"/>
        <v>CondensingTemperatureHighAlarm</v>
      </c>
      <c r="J43" s="9" t="str">
        <f t="shared" si="8"/>
        <v>BIT</v>
      </c>
      <c r="K43" s="9" t="str">
        <f t="shared" si="8"/>
        <v>.11</v>
      </c>
      <c r="L43" s="4"/>
      <c r="M43" s="4"/>
      <c r="N43" s="72" t="str">
        <f t="shared" si="9"/>
        <v>Warm water temperature too high, not enough flow, or too much refrigerant</v>
      </c>
      <c r="O43" s="12"/>
      <c r="P43" s="56"/>
    </row>
    <row r="44" spans="1:16" x14ac:dyDescent="0.2">
      <c r="A44" s="1"/>
      <c r="B44" s="5" t="s">
        <v>31</v>
      </c>
      <c r="C44" s="6" t="s">
        <v>26</v>
      </c>
      <c r="D44" s="4"/>
      <c r="E44" s="4"/>
      <c r="F44" s="11"/>
      <c r="G44" s="12"/>
      <c r="H44" s="48"/>
      <c r="I44" s="11" t="str">
        <f t="shared" si="10"/>
        <v>EvaporatorTemperatureLowAlarm</v>
      </c>
      <c r="J44" s="9" t="str">
        <f t="shared" si="8"/>
        <v>BIT</v>
      </c>
      <c r="K44" s="9" t="str">
        <f t="shared" si="8"/>
        <v>.12</v>
      </c>
      <c r="L44" s="4"/>
      <c r="M44" s="4"/>
      <c r="N44" s="11" t="str">
        <f t="shared" si="9"/>
        <v>Cold water temperature too low,not enough flow, problem with expansion valve, or too little refrigerant</v>
      </c>
      <c r="O44" s="12"/>
      <c r="P44" s="56"/>
    </row>
    <row r="45" spans="1:16" x14ac:dyDescent="0.2">
      <c r="A45" s="1"/>
      <c r="B45" s="5" t="s">
        <v>31</v>
      </c>
      <c r="C45" s="6" t="s">
        <v>27</v>
      </c>
      <c r="D45" s="4"/>
      <c r="E45" s="4"/>
      <c r="F45" s="11"/>
      <c r="G45" s="12"/>
      <c r="H45" s="48"/>
      <c r="I45" s="11" t="str">
        <f t="shared" si="10"/>
        <v>HighDischargeTemperatureAlarm</v>
      </c>
      <c r="J45" s="9" t="str">
        <f t="shared" si="8"/>
        <v>BIT</v>
      </c>
      <c r="K45" s="9" t="str">
        <f t="shared" si="8"/>
        <v>.13</v>
      </c>
      <c r="L45" s="4"/>
      <c r="M45" s="4"/>
      <c r="N45" s="11" t="str">
        <f t="shared" si="9"/>
        <v>Difference between warm side and cold side temperature too high, or compressor power too low</v>
      </c>
      <c r="O45" s="12"/>
      <c r="P45" s="56"/>
    </row>
    <row r="46" spans="1:16" x14ac:dyDescent="0.2">
      <c r="A46" s="1"/>
      <c r="B46" s="5" t="s">
        <v>31</v>
      </c>
      <c r="C46" s="6" t="s">
        <v>28</v>
      </c>
      <c r="D46" s="4"/>
      <c r="E46" s="4"/>
      <c r="F46" s="11"/>
      <c r="G46" s="12"/>
      <c r="H46" s="48"/>
      <c r="I46" s="11" t="str">
        <f t="shared" si="10"/>
        <v>HighEvaporatingTemperatureAlarm</v>
      </c>
      <c r="J46" s="9" t="str">
        <f t="shared" si="8"/>
        <v>BIT</v>
      </c>
      <c r="K46" s="9" t="str">
        <f t="shared" si="8"/>
        <v>.14</v>
      </c>
      <c r="L46" s="4"/>
      <c r="M46" s="4"/>
      <c r="N46" s="11" t="str">
        <f t="shared" si="9"/>
        <v>Cold water too warm</v>
      </c>
      <c r="O46" s="12"/>
      <c r="P46" s="56"/>
    </row>
    <row r="47" spans="1:16" x14ac:dyDescent="0.2">
      <c r="A47" s="30"/>
      <c r="B47" s="5" t="s">
        <v>31</v>
      </c>
      <c r="C47" s="29" t="s">
        <v>29</v>
      </c>
      <c r="D47" s="66"/>
      <c r="E47" s="66"/>
      <c r="F47" s="11"/>
      <c r="G47" s="12"/>
      <c r="H47" s="48"/>
      <c r="I47" s="11" t="str">
        <f t="shared" si="10"/>
        <v>SuperheatLowAlarm</v>
      </c>
      <c r="J47" s="9" t="str">
        <f t="shared" si="8"/>
        <v>BIT</v>
      </c>
      <c r="K47" s="9" t="str">
        <f t="shared" si="8"/>
        <v>.15</v>
      </c>
      <c r="L47" s="66"/>
      <c r="M47" s="66"/>
      <c r="N47" s="11" t="str">
        <f t="shared" si="9"/>
        <v>Expansion valve not working properly</v>
      </c>
      <c r="O47" s="12"/>
      <c r="P47" s="56"/>
    </row>
    <row r="48" spans="1:16" x14ac:dyDescent="0.2">
      <c r="A48" s="90" t="s">
        <v>175</v>
      </c>
      <c r="B48" s="4" t="s">
        <v>46</v>
      </c>
      <c r="C48" s="7">
        <f>C31+IF(OR(B31="INT",B31="UINT",B31="WORD"),1,IF(OR(B31="DINT",B31="UDINT",B31="REAL",B31="FLOAT"),2,"xxx"))*IF(OR($CA$1=1,$CA$1=3,$CA$1=4),1,2)</f>
        <v>2002</v>
      </c>
      <c r="D48" s="78" t="s">
        <v>53</v>
      </c>
      <c r="E48" s="78" t="s">
        <v>146</v>
      </c>
      <c r="F48" s="11" t="s">
        <v>126</v>
      </c>
      <c r="G48" s="16"/>
      <c r="H48" s="48"/>
    </row>
    <row r="49" spans="1:8" x14ac:dyDescent="0.2">
      <c r="A49" s="93" t="s">
        <v>176</v>
      </c>
      <c r="B49" s="4" t="s">
        <v>46</v>
      </c>
      <c r="C49" s="7">
        <f t="shared" ref="C49:C80" si="11">C48+IF(OR(B48="INT",B48="UINT",B48="WORD"),1,IF(OR(B48="DINT",B48="UDINT",B48="REAL",B48="FLOAT"),2,"xxx"))*IF(OR($CA$1=1,$CA$1=3,$CA$1=4),1,2)</f>
        <v>2003</v>
      </c>
      <c r="D49" s="78" t="s">
        <v>53</v>
      </c>
      <c r="E49" s="78" t="s">
        <v>147</v>
      </c>
      <c r="F49" s="11" t="s">
        <v>124</v>
      </c>
      <c r="G49" s="12"/>
      <c r="H49" s="48"/>
    </row>
    <row r="50" spans="1:8" x14ac:dyDescent="0.2">
      <c r="A50" s="93" t="s">
        <v>177</v>
      </c>
      <c r="B50" s="4" t="s">
        <v>46</v>
      </c>
      <c r="C50" s="7">
        <f t="shared" si="11"/>
        <v>2004</v>
      </c>
      <c r="D50" s="78" t="s">
        <v>53</v>
      </c>
      <c r="E50" s="78" t="s">
        <v>163</v>
      </c>
      <c r="F50" s="11" t="s">
        <v>396</v>
      </c>
      <c r="G50" s="12"/>
      <c r="H50" s="48"/>
    </row>
    <row r="51" spans="1:8" x14ac:dyDescent="0.2">
      <c r="A51" s="93" t="s">
        <v>178</v>
      </c>
      <c r="B51" s="4" t="s">
        <v>46</v>
      </c>
      <c r="C51" s="7">
        <f t="shared" si="11"/>
        <v>2005</v>
      </c>
      <c r="D51" s="78" t="s">
        <v>53</v>
      </c>
      <c r="E51" s="78" t="s">
        <v>164</v>
      </c>
      <c r="F51" s="11" t="s">
        <v>125</v>
      </c>
      <c r="G51" s="12"/>
      <c r="H51" s="48"/>
    </row>
    <row r="52" spans="1:8" x14ac:dyDescent="0.2">
      <c r="A52" s="2" t="s">
        <v>40</v>
      </c>
      <c r="B52" s="4" t="s">
        <v>88</v>
      </c>
      <c r="C52" s="7">
        <f t="shared" si="11"/>
        <v>2006</v>
      </c>
      <c r="D52" s="78" t="s">
        <v>87</v>
      </c>
      <c r="E52" s="78" t="s">
        <v>165</v>
      </c>
      <c r="F52" s="11" t="s">
        <v>217</v>
      </c>
      <c r="G52" s="12"/>
      <c r="H52" s="48"/>
    </row>
    <row r="53" spans="1:8" x14ac:dyDescent="0.2">
      <c r="A53" s="93" t="s">
        <v>253</v>
      </c>
      <c r="B53" s="4" t="s">
        <v>88</v>
      </c>
      <c r="C53" s="7">
        <f t="shared" si="11"/>
        <v>2007</v>
      </c>
      <c r="D53" s="78" t="s">
        <v>89</v>
      </c>
      <c r="E53" s="78" t="s">
        <v>166</v>
      </c>
      <c r="F53" s="11" t="s">
        <v>215</v>
      </c>
      <c r="G53" s="12"/>
      <c r="H53" s="48"/>
    </row>
    <row r="54" spans="1:8" x14ac:dyDescent="0.2">
      <c r="A54" s="93" t="s">
        <v>257</v>
      </c>
      <c r="B54" s="4" t="s">
        <v>88</v>
      </c>
      <c r="C54" s="7">
        <f t="shared" si="11"/>
        <v>2008</v>
      </c>
      <c r="D54" s="78" t="s">
        <v>89</v>
      </c>
      <c r="E54" s="78" t="s">
        <v>167</v>
      </c>
      <c r="F54" s="11" t="s">
        <v>216</v>
      </c>
      <c r="G54" s="12"/>
      <c r="H54" s="48"/>
    </row>
    <row r="55" spans="1:8" x14ac:dyDescent="0.2">
      <c r="A55" s="93" t="s">
        <v>102</v>
      </c>
      <c r="B55" s="4" t="s">
        <v>88</v>
      </c>
      <c r="C55" s="7">
        <f t="shared" si="11"/>
        <v>2009</v>
      </c>
      <c r="D55" s="78" t="s">
        <v>89</v>
      </c>
      <c r="E55" s="78" t="s">
        <v>165</v>
      </c>
      <c r="F55" s="11" t="s">
        <v>218</v>
      </c>
      <c r="G55" s="12"/>
      <c r="H55" s="48"/>
    </row>
    <row r="56" spans="1:8" x14ac:dyDescent="0.2">
      <c r="A56" s="93" t="s">
        <v>400</v>
      </c>
      <c r="B56" s="4" t="s">
        <v>47</v>
      </c>
      <c r="C56" s="7">
        <f>C55+IF(OR(B55="INT",B55="UINT",B55="WORD"),1,IF(OR(B55="DINT",B55="UDINT",B55="REAL",B55="FLOAT"),2,"xxx"))*IF(OR($CA$1=1,$CA$1=3,$CA$1=4),1,2)</f>
        <v>2010</v>
      </c>
      <c r="D56" s="78" t="s">
        <v>5</v>
      </c>
      <c r="E56" s="78" t="s">
        <v>166</v>
      </c>
      <c r="F56" s="11" t="s">
        <v>210</v>
      </c>
      <c r="G56" s="12"/>
      <c r="H56" s="48"/>
    </row>
    <row r="57" spans="1:8" x14ac:dyDescent="0.2">
      <c r="A57" s="93" t="s">
        <v>258</v>
      </c>
      <c r="B57" s="4" t="s">
        <v>47</v>
      </c>
      <c r="C57" s="7">
        <f t="shared" si="11"/>
        <v>2012</v>
      </c>
      <c r="D57" s="78" t="s">
        <v>5</v>
      </c>
      <c r="E57" s="78" t="s">
        <v>167</v>
      </c>
      <c r="F57" s="11" t="s">
        <v>211</v>
      </c>
      <c r="G57" s="12"/>
      <c r="H57" s="48"/>
    </row>
    <row r="58" spans="1:8" x14ac:dyDescent="0.2">
      <c r="A58" s="93" t="s">
        <v>103</v>
      </c>
      <c r="B58" s="4" t="s">
        <v>47</v>
      </c>
      <c r="C58" s="7">
        <f t="shared" si="11"/>
        <v>2014</v>
      </c>
      <c r="D58" s="78" t="s">
        <v>5</v>
      </c>
      <c r="E58" s="78" t="s">
        <v>165</v>
      </c>
      <c r="F58" s="11" t="s">
        <v>212</v>
      </c>
      <c r="G58" s="12"/>
      <c r="H58" s="48"/>
    </row>
    <row r="59" spans="1:8" x14ac:dyDescent="0.2">
      <c r="A59" s="2" t="s">
        <v>219</v>
      </c>
      <c r="B59" s="4" t="s">
        <v>46</v>
      </c>
      <c r="C59" s="7">
        <f t="shared" si="11"/>
        <v>2016</v>
      </c>
      <c r="D59" s="78" t="s">
        <v>48</v>
      </c>
      <c r="E59" s="78" t="s">
        <v>168</v>
      </c>
      <c r="F59" s="11" t="s">
        <v>213</v>
      </c>
      <c r="G59" s="12"/>
      <c r="H59" s="48"/>
    </row>
    <row r="60" spans="1:8" x14ac:dyDescent="0.2">
      <c r="A60" s="2" t="s">
        <v>220</v>
      </c>
      <c r="B60" s="4" t="s">
        <v>46</v>
      </c>
      <c r="C60" s="7">
        <f t="shared" si="11"/>
        <v>2017</v>
      </c>
      <c r="D60" s="78" t="s">
        <v>48</v>
      </c>
      <c r="E60" s="78" t="s">
        <v>169</v>
      </c>
      <c r="F60" s="11" t="s">
        <v>214</v>
      </c>
      <c r="G60" s="12"/>
      <c r="H60" s="48"/>
    </row>
    <row r="61" spans="1:8" x14ac:dyDescent="0.2">
      <c r="A61" s="93" t="s">
        <v>41</v>
      </c>
      <c r="B61" s="4" t="s">
        <v>46</v>
      </c>
      <c r="C61" s="7">
        <f t="shared" si="11"/>
        <v>2018</v>
      </c>
      <c r="D61" s="78" t="s">
        <v>45</v>
      </c>
      <c r="E61" s="78" t="s">
        <v>170</v>
      </c>
      <c r="F61" s="11" t="s">
        <v>54</v>
      </c>
      <c r="G61" s="12"/>
      <c r="H61" s="48"/>
    </row>
    <row r="62" spans="1:8" x14ac:dyDescent="0.2">
      <c r="A62" s="94" t="s">
        <v>42</v>
      </c>
      <c r="B62" s="4" t="s">
        <v>46</v>
      </c>
      <c r="C62" s="7">
        <f t="shared" si="11"/>
        <v>2019</v>
      </c>
      <c r="D62" s="78" t="s">
        <v>45</v>
      </c>
      <c r="E62" s="78" t="s">
        <v>171</v>
      </c>
      <c r="F62" s="11" t="s">
        <v>55</v>
      </c>
      <c r="G62" s="12"/>
      <c r="H62" s="48"/>
    </row>
    <row r="63" spans="1:8" x14ac:dyDescent="0.2">
      <c r="A63" s="8" t="s">
        <v>324</v>
      </c>
      <c r="B63" s="4" t="s">
        <v>46</v>
      </c>
      <c r="C63" s="7">
        <f t="shared" si="11"/>
        <v>2020</v>
      </c>
      <c r="D63" s="78" t="s">
        <v>45</v>
      </c>
      <c r="E63" s="78" t="s">
        <v>148</v>
      </c>
      <c r="F63" s="11" t="s">
        <v>143</v>
      </c>
      <c r="G63" s="12"/>
      <c r="H63" s="48"/>
    </row>
    <row r="64" spans="1:8" x14ac:dyDescent="0.2">
      <c r="A64" s="8" t="s">
        <v>325</v>
      </c>
      <c r="B64" s="4" t="s">
        <v>46</v>
      </c>
      <c r="C64" s="7">
        <f t="shared" si="11"/>
        <v>2021</v>
      </c>
      <c r="D64" s="78" t="s">
        <v>45</v>
      </c>
      <c r="E64" s="67" t="s">
        <v>149</v>
      </c>
      <c r="F64" s="11" t="s">
        <v>143</v>
      </c>
      <c r="G64" s="12"/>
      <c r="H64" s="48"/>
    </row>
    <row r="65" spans="1:8" x14ac:dyDescent="0.2">
      <c r="A65" s="8" t="s">
        <v>326</v>
      </c>
      <c r="B65" s="4" t="s">
        <v>46</v>
      </c>
      <c r="C65" s="7">
        <f t="shared" si="11"/>
        <v>2022</v>
      </c>
      <c r="D65" s="78" t="s">
        <v>45</v>
      </c>
      <c r="E65" s="68" t="s">
        <v>150</v>
      </c>
      <c r="F65" s="11" t="s">
        <v>143</v>
      </c>
      <c r="G65" s="12"/>
      <c r="H65" s="48"/>
    </row>
    <row r="66" spans="1:8" x14ac:dyDescent="0.2">
      <c r="A66" s="8" t="s">
        <v>327</v>
      </c>
      <c r="B66" s="4" t="s">
        <v>46</v>
      </c>
      <c r="C66" s="7">
        <f t="shared" si="11"/>
        <v>2023</v>
      </c>
      <c r="D66" s="78" t="s">
        <v>45</v>
      </c>
      <c r="E66" s="68" t="s">
        <v>151</v>
      </c>
      <c r="F66" s="11" t="s">
        <v>144</v>
      </c>
      <c r="G66" s="12"/>
      <c r="H66" s="48"/>
    </row>
    <row r="67" spans="1:8" x14ac:dyDescent="0.2">
      <c r="A67" s="8" t="s">
        <v>328</v>
      </c>
      <c r="B67" s="4" t="s">
        <v>46</v>
      </c>
      <c r="C67" s="7">
        <f t="shared" si="11"/>
        <v>2024</v>
      </c>
      <c r="D67" s="78" t="s">
        <v>45</v>
      </c>
      <c r="E67" s="68" t="s">
        <v>152</v>
      </c>
      <c r="F67" s="11" t="s">
        <v>144</v>
      </c>
      <c r="G67" s="12"/>
      <c r="H67" s="48"/>
    </row>
    <row r="68" spans="1:8" x14ac:dyDescent="0.2">
      <c r="A68" s="8" t="s">
        <v>329</v>
      </c>
      <c r="B68" s="4" t="s">
        <v>46</v>
      </c>
      <c r="C68" s="7">
        <f t="shared" si="11"/>
        <v>2025</v>
      </c>
      <c r="D68" s="78" t="s">
        <v>45</v>
      </c>
      <c r="E68" s="68" t="s">
        <v>153</v>
      </c>
      <c r="F68" s="11" t="s">
        <v>144</v>
      </c>
      <c r="G68" s="12"/>
      <c r="H68" s="48"/>
    </row>
    <row r="69" spans="1:8" x14ac:dyDescent="0.2">
      <c r="A69" s="2" t="s">
        <v>43</v>
      </c>
      <c r="B69" s="4" t="s">
        <v>46</v>
      </c>
      <c r="C69" s="7">
        <f t="shared" si="11"/>
        <v>2026</v>
      </c>
      <c r="D69" s="78" t="s">
        <v>45</v>
      </c>
      <c r="E69" s="69"/>
      <c r="F69" s="73" t="s">
        <v>81</v>
      </c>
      <c r="G69" s="12"/>
      <c r="H69" s="48"/>
    </row>
    <row r="70" spans="1:8" x14ac:dyDescent="0.2">
      <c r="A70" s="93" t="s">
        <v>44</v>
      </c>
      <c r="B70" s="4" t="s">
        <v>46</v>
      </c>
      <c r="C70" s="7">
        <f t="shared" si="11"/>
        <v>2027</v>
      </c>
      <c r="D70" s="67" t="s">
        <v>45</v>
      </c>
      <c r="E70" s="78"/>
      <c r="F70" s="31" t="s">
        <v>82</v>
      </c>
      <c r="G70" s="12"/>
      <c r="H70" s="48"/>
    </row>
    <row r="71" spans="1:8" x14ac:dyDescent="0.2">
      <c r="A71" s="2" t="s">
        <v>91</v>
      </c>
      <c r="B71" s="4" t="s">
        <v>46</v>
      </c>
      <c r="C71" s="7">
        <f t="shared" si="11"/>
        <v>2028</v>
      </c>
      <c r="D71" s="68" t="s">
        <v>45</v>
      </c>
      <c r="E71" s="78"/>
      <c r="F71" s="11" t="s">
        <v>207</v>
      </c>
      <c r="G71" s="12"/>
      <c r="H71" s="48"/>
    </row>
    <row r="72" spans="1:8" x14ac:dyDescent="0.2">
      <c r="A72" s="2" t="s">
        <v>128</v>
      </c>
      <c r="B72" s="4" t="s">
        <v>46</v>
      </c>
      <c r="C72" s="7">
        <f t="shared" si="11"/>
        <v>2029</v>
      </c>
      <c r="D72" s="68" t="s">
        <v>45</v>
      </c>
      <c r="E72" s="78"/>
      <c r="F72" s="11" t="s">
        <v>129</v>
      </c>
      <c r="G72" s="12"/>
      <c r="H72" s="48"/>
    </row>
    <row r="73" spans="1:8" x14ac:dyDescent="0.2">
      <c r="A73" s="2" t="s">
        <v>133</v>
      </c>
      <c r="B73" s="4" t="s">
        <v>46</v>
      </c>
      <c r="C73" s="7">
        <f t="shared" si="11"/>
        <v>2030</v>
      </c>
      <c r="D73" s="69" t="s">
        <v>45</v>
      </c>
      <c r="E73" s="78"/>
      <c r="F73" s="11" t="s">
        <v>134</v>
      </c>
      <c r="G73" s="72"/>
      <c r="H73" s="48"/>
    </row>
    <row r="74" spans="1:8" x14ac:dyDescent="0.2">
      <c r="A74" s="93" t="s">
        <v>203</v>
      </c>
      <c r="B74" s="4" t="s">
        <v>46</v>
      </c>
      <c r="C74" s="7">
        <f t="shared" si="11"/>
        <v>2031</v>
      </c>
      <c r="D74" s="78" t="s">
        <v>45</v>
      </c>
      <c r="E74" s="76" t="s">
        <v>204</v>
      </c>
      <c r="F74" s="11" t="s">
        <v>206</v>
      </c>
      <c r="G74" s="72"/>
      <c r="H74" s="48"/>
    </row>
    <row r="75" spans="1:8" x14ac:dyDescent="0.2">
      <c r="A75" s="93" t="s">
        <v>221</v>
      </c>
      <c r="B75" s="4" t="s">
        <v>46</v>
      </c>
      <c r="C75" s="7">
        <f t="shared" si="11"/>
        <v>2032</v>
      </c>
      <c r="D75" s="78" t="s">
        <v>45</v>
      </c>
      <c r="E75" s="78" t="s">
        <v>205</v>
      </c>
      <c r="F75" s="11" t="s">
        <v>206</v>
      </c>
      <c r="G75" s="72"/>
      <c r="H75" s="48"/>
    </row>
    <row r="76" spans="1:8" x14ac:dyDescent="0.2">
      <c r="A76" s="93" t="s">
        <v>286</v>
      </c>
      <c r="B76" s="4" t="s">
        <v>46</v>
      </c>
      <c r="C76" s="7">
        <f t="shared" si="11"/>
        <v>2033</v>
      </c>
      <c r="D76" s="78"/>
      <c r="E76" s="78"/>
      <c r="F76" s="11" t="s">
        <v>287</v>
      </c>
      <c r="G76" s="72"/>
      <c r="H76" s="48"/>
    </row>
    <row r="77" spans="1:8" x14ac:dyDescent="0.2">
      <c r="A77" s="2" t="s">
        <v>182</v>
      </c>
      <c r="B77" s="4" t="s">
        <v>46</v>
      </c>
      <c r="C77" s="7">
        <f t="shared" si="11"/>
        <v>2034</v>
      </c>
      <c r="D77" s="78" t="s">
        <v>53</v>
      </c>
      <c r="E77" s="78" t="s">
        <v>186</v>
      </c>
      <c r="F77" s="11" t="s">
        <v>193</v>
      </c>
      <c r="G77" s="72"/>
      <c r="H77" s="48"/>
    </row>
    <row r="78" spans="1:8" x14ac:dyDescent="0.2">
      <c r="A78" s="2" t="s">
        <v>183</v>
      </c>
      <c r="B78" s="4" t="s">
        <v>46</v>
      </c>
      <c r="C78" s="7">
        <f t="shared" si="11"/>
        <v>2035</v>
      </c>
      <c r="D78" s="78" t="s">
        <v>53</v>
      </c>
      <c r="E78" s="78" t="s">
        <v>187</v>
      </c>
      <c r="F78" s="11" t="s">
        <v>190</v>
      </c>
      <c r="G78" s="72"/>
      <c r="H78" s="48"/>
    </row>
    <row r="79" spans="1:8" x14ac:dyDescent="0.2">
      <c r="A79" s="2" t="s">
        <v>184</v>
      </c>
      <c r="B79" s="4" t="s">
        <v>46</v>
      </c>
      <c r="C79" s="7">
        <f t="shared" si="11"/>
        <v>2036</v>
      </c>
      <c r="D79" s="78" t="s">
        <v>53</v>
      </c>
      <c r="E79" s="78" t="s">
        <v>188</v>
      </c>
      <c r="F79" s="11" t="s">
        <v>193</v>
      </c>
      <c r="G79" s="72"/>
      <c r="H79" s="48"/>
    </row>
    <row r="80" spans="1:8" x14ac:dyDescent="0.2">
      <c r="A80" s="2" t="s">
        <v>185</v>
      </c>
      <c r="B80" s="4" t="s">
        <v>46</v>
      </c>
      <c r="C80" s="7">
        <f t="shared" si="11"/>
        <v>2037</v>
      </c>
      <c r="D80" s="78" t="s">
        <v>53</v>
      </c>
      <c r="E80" s="78" t="s">
        <v>189</v>
      </c>
      <c r="F80" s="11" t="s">
        <v>190</v>
      </c>
      <c r="G80" s="88"/>
      <c r="H80" s="48"/>
    </row>
    <row r="81" spans="1:8" x14ac:dyDescent="0.2">
      <c r="A81" s="2" t="s">
        <v>76</v>
      </c>
      <c r="B81" s="4" t="s">
        <v>46</v>
      </c>
      <c r="C81" s="7">
        <f t="shared" ref="C81:C112" si="12">C80+IF(OR(B80="INT",B80="UINT",B80="WORD"),1,IF(OR(B80="DINT",B80="UDINT",B80="REAL",B80="FLOAT"),2,"xxx"))*IF(OR($CA$1=1,$CA$1=3,$CA$1=4),1,2)</f>
        <v>2038</v>
      </c>
      <c r="D81" s="78" t="s">
        <v>53</v>
      </c>
      <c r="E81" s="78" t="s">
        <v>158</v>
      </c>
      <c r="F81" s="11" t="s">
        <v>191</v>
      </c>
      <c r="G81" s="72"/>
      <c r="H81" s="48"/>
    </row>
    <row r="82" spans="1:8" x14ac:dyDescent="0.2">
      <c r="A82" s="2" t="s">
        <v>77</v>
      </c>
      <c r="B82" s="4" t="s">
        <v>46</v>
      </c>
      <c r="C82" s="7">
        <f t="shared" si="12"/>
        <v>2039</v>
      </c>
      <c r="D82" s="78" t="s">
        <v>53</v>
      </c>
      <c r="E82" s="78" t="s">
        <v>157</v>
      </c>
      <c r="F82" s="11" t="s">
        <v>192</v>
      </c>
      <c r="G82" s="72"/>
      <c r="H82" s="48"/>
    </row>
    <row r="83" spans="1:8" x14ac:dyDescent="0.2">
      <c r="A83" s="2" t="s">
        <v>228</v>
      </c>
      <c r="B83" s="4" t="s">
        <v>46</v>
      </c>
      <c r="C83" s="7">
        <f t="shared" si="12"/>
        <v>2040</v>
      </c>
      <c r="D83" s="78" t="s">
        <v>53</v>
      </c>
      <c r="E83" s="78" t="s">
        <v>158</v>
      </c>
      <c r="F83" s="11" t="s">
        <v>130</v>
      </c>
      <c r="G83" s="72"/>
      <c r="H83" s="48"/>
    </row>
    <row r="84" spans="1:8" x14ac:dyDescent="0.2">
      <c r="A84" s="2" t="s">
        <v>229</v>
      </c>
      <c r="B84" s="4" t="s">
        <v>46</v>
      </c>
      <c r="C84" s="7">
        <f t="shared" si="12"/>
        <v>2041</v>
      </c>
      <c r="D84" s="78" t="s">
        <v>53</v>
      </c>
      <c r="E84" s="78" t="s">
        <v>158</v>
      </c>
      <c r="F84" s="11" t="s">
        <v>132</v>
      </c>
      <c r="G84" s="72"/>
      <c r="H84" s="48"/>
    </row>
    <row r="85" spans="1:8" x14ac:dyDescent="0.2">
      <c r="A85" s="2" t="s">
        <v>230</v>
      </c>
      <c r="B85" s="4" t="s">
        <v>46</v>
      </c>
      <c r="C85" s="7">
        <f t="shared" si="12"/>
        <v>2042</v>
      </c>
      <c r="D85" s="78" t="s">
        <v>53</v>
      </c>
      <c r="E85" s="78" t="s">
        <v>157</v>
      </c>
      <c r="F85" s="11" t="s">
        <v>130</v>
      </c>
      <c r="G85" s="72"/>
      <c r="H85" s="48"/>
    </row>
    <row r="86" spans="1:8" x14ac:dyDescent="0.2">
      <c r="A86" s="2" t="s">
        <v>231</v>
      </c>
      <c r="B86" s="4" t="s">
        <v>46</v>
      </c>
      <c r="C86" s="7">
        <f t="shared" si="12"/>
        <v>2043</v>
      </c>
      <c r="D86" s="78" t="s">
        <v>53</v>
      </c>
      <c r="E86" s="78" t="s">
        <v>157</v>
      </c>
      <c r="F86" s="11" t="s">
        <v>131</v>
      </c>
      <c r="G86" s="72"/>
      <c r="H86" s="48"/>
    </row>
    <row r="87" spans="1:8" x14ac:dyDescent="0.2">
      <c r="A87" s="2" t="s">
        <v>314</v>
      </c>
      <c r="B87" s="4" t="s">
        <v>46</v>
      </c>
      <c r="C87" s="7">
        <f t="shared" si="12"/>
        <v>2044</v>
      </c>
      <c r="D87" s="78" t="s">
        <v>45</v>
      </c>
      <c r="E87" s="78"/>
      <c r="F87" s="11" t="s">
        <v>316</v>
      </c>
      <c r="G87" s="72"/>
      <c r="H87" s="48"/>
    </row>
    <row r="88" spans="1:8" x14ac:dyDescent="0.2">
      <c r="A88" s="2" t="s">
        <v>315</v>
      </c>
      <c r="B88" s="4" t="s">
        <v>46</v>
      </c>
      <c r="C88" s="7">
        <f t="shared" si="12"/>
        <v>2045</v>
      </c>
      <c r="D88" s="78" t="s">
        <v>45</v>
      </c>
      <c r="E88" s="78"/>
      <c r="F88" s="11" t="s">
        <v>317</v>
      </c>
      <c r="G88" s="72"/>
      <c r="H88" s="48"/>
    </row>
    <row r="89" spans="1:8" x14ac:dyDescent="0.2">
      <c r="A89" s="2" t="s">
        <v>358</v>
      </c>
      <c r="B89" s="4" t="s">
        <v>46</v>
      </c>
      <c r="C89" s="7">
        <f t="shared" si="12"/>
        <v>2046</v>
      </c>
      <c r="D89" s="78" t="s">
        <v>53</v>
      </c>
      <c r="E89" s="78" t="s">
        <v>361</v>
      </c>
      <c r="F89" s="11" t="s">
        <v>360</v>
      </c>
      <c r="G89" s="72"/>
      <c r="H89" s="48"/>
    </row>
    <row r="90" spans="1:8" x14ac:dyDescent="0.2">
      <c r="A90" s="2" t="s">
        <v>359</v>
      </c>
      <c r="B90" s="4" t="s">
        <v>46</v>
      </c>
      <c r="C90" s="7">
        <f t="shared" si="12"/>
        <v>2047</v>
      </c>
      <c r="D90" s="78" t="s">
        <v>53</v>
      </c>
      <c r="E90" s="78" t="s">
        <v>362</v>
      </c>
      <c r="F90" s="11" t="s">
        <v>360</v>
      </c>
      <c r="G90" s="72"/>
      <c r="H90" s="48"/>
    </row>
    <row r="91" spans="1:8" x14ac:dyDescent="0.2">
      <c r="A91" s="2" t="s">
        <v>222</v>
      </c>
      <c r="B91" s="4" t="s">
        <v>46</v>
      </c>
      <c r="C91" s="7">
        <f t="shared" si="12"/>
        <v>2048</v>
      </c>
      <c r="D91" s="67" t="s">
        <v>48</v>
      </c>
      <c r="E91" s="67" t="s">
        <v>168</v>
      </c>
      <c r="F91" s="11" t="s">
        <v>213</v>
      </c>
      <c r="G91" s="72"/>
      <c r="H91" s="48"/>
    </row>
    <row r="92" spans="1:8" x14ac:dyDescent="0.2">
      <c r="A92" s="2" t="s">
        <v>223</v>
      </c>
      <c r="B92" s="4" t="s">
        <v>46</v>
      </c>
      <c r="C92" s="7">
        <f t="shared" si="12"/>
        <v>2049</v>
      </c>
      <c r="D92" s="68" t="s">
        <v>48</v>
      </c>
      <c r="E92" s="68" t="s">
        <v>169</v>
      </c>
      <c r="F92" s="11" t="s">
        <v>214</v>
      </c>
      <c r="G92" s="72"/>
      <c r="H92" s="48"/>
    </row>
    <row r="93" spans="1:8" x14ac:dyDescent="0.2">
      <c r="A93" s="2" t="s">
        <v>224</v>
      </c>
      <c r="B93" s="4" t="s">
        <v>46</v>
      </c>
      <c r="C93" s="7">
        <f t="shared" si="12"/>
        <v>2050</v>
      </c>
      <c r="D93" s="69" t="s">
        <v>48</v>
      </c>
      <c r="E93" s="69" t="s">
        <v>225</v>
      </c>
      <c r="F93" s="11" t="s">
        <v>226</v>
      </c>
      <c r="G93" s="72"/>
      <c r="H93" s="48"/>
    </row>
    <row r="94" spans="1:8" x14ac:dyDescent="0.2">
      <c r="A94" s="2" t="s">
        <v>136</v>
      </c>
      <c r="B94" s="4" t="s">
        <v>88</v>
      </c>
      <c r="C94" s="7">
        <f t="shared" si="12"/>
        <v>2051</v>
      </c>
      <c r="D94" s="78" t="s">
        <v>141</v>
      </c>
      <c r="E94" s="78" t="s">
        <v>148</v>
      </c>
      <c r="F94" s="11" t="s">
        <v>142</v>
      </c>
      <c r="G94" s="72"/>
      <c r="H94" s="48"/>
    </row>
    <row r="95" spans="1:8" x14ac:dyDescent="0.2">
      <c r="A95" s="2" t="s">
        <v>137</v>
      </c>
      <c r="B95" s="4" t="s">
        <v>88</v>
      </c>
      <c r="C95" s="7">
        <f t="shared" si="12"/>
        <v>2052</v>
      </c>
      <c r="D95" s="78" t="s">
        <v>141</v>
      </c>
      <c r="E95" s="78" t="s">
        <v>149</v>
      </c>
      <c r="F95" s="11" t="s">
        <v>142</v>
      </c>
      <c r="G95" s="72"/>
      <c r="H95" s="48"/>
    </row>
    <row r="96" spans="1:8" x14ac:dyDescent="0.2">
      <c r="A96" s="2" t="s">
        <v>138</v>
      </c>
      <c r="B96" s="4" t="s">
        <v>88</v>
      </c>
      <c r="C96" s="7">
        <f t="shared" si="12"/>
        <v>2053</v>
      </c>
      <c r="D96" s="78" t="s">
        <v>141</v>
      </c>
      <c r="E96" s="78" t="s">
        <v>150</v>
      </c>
      <c r="F96" s="11" t="s">
        <v>142</v>
      </c>
      <c r="G96" s="72"/>
      <c r="H96" s="48"/>
    </row>
    <row r="97" spans="1:8" x14ac:dyDescent="0.2">
      <c r="A97" s="2" t="s">
        <v>139</v>
      </c>
      <c r="B97" s="4" t="s">
        <v>88</v>
      </c>
      <c r="C97" s="7">
        <f t="shared" si="12"/>
        <v>2054</v>
      </c>
      <c r="D97" s="78" t="s">
        <v>141</v>
      </c>
      <c r="E97" s="78" t="s">
        <v>151</v>
      </c>
      <c r="F97" s="11" t="s">
        <v>142</v>
      </c>
      <c r="G97" s="72"/>
      <c r="H97" s="48"/>
    </row>
    <row r="98" spans="1:8" x14ac:dyDescent="0.2">
      <c r="A98" s="2" t="s">
        <v>140</v>
      </c>
      <c r="B98" s="4" t="s">
        <v>88</v>
      </c>
      <c r="C98" s="7">
        <f t="shared" si="12"/>
        <v>2055</v>
      </c>
      <c r="D98" s="78" t="s">
        <v>141</v>
      </c>
      <c r="E98" s="78" t="s">
        <v>152</v>
      </c>
      <c r="F98" s="11" t="s">
        <v>142</v>
      </c>
      <c r="G98" s="72"/>
      <c r="H98" s="48"/>
    </row>
    <row r="99" spans="1:8" x14ac:dyDescent="0.2">
      <c r="A99" s="2" t="s">
        <v>135</v>
      </c>
      <c r="B99" s="4" t="s">
        <v>88</v>
      </c>
      <c r="C99" s="7">
        <f t="shared" si="12"/>
        <v>2056</v>
      </c>
      <c r="D99" s="78" t="s">
        <v>141</v>
      </c>
      <c r="E99" s="78" t="s">
        <v>153</v>
      </c>
      <c r="F99" s="11" t="s">
        <v>142</v>
      </c>
      <c r="G99" s="72"/>
      <c r="H99" s="48"/>
    </row>
    <row r="100" spans="1:8" x14ac:dyDescent="0.2">
      <c r="A100" s="2" t="s">
        <v>107</v>
      </c>
      <c r="B100" s="4" t="s">
        <v>46</v>
      </c>
      <c r="C100" s="7">
        <f t="shared" si="12"/>
        <v>2057</v>
      </c>
      <c r="D100" s="78" t="s">
        <v>48</v>
      </c>
      <c r="E100" s="78"/>
      <c r="F100" s="11" t="s">
        <v>209</v>
      </c>
      <c r="G100" s="72"/>
      <c r="H100" s="48"/>
    </row>
    <row r="101" spans="1:8" x14ac:dyDescent="0.2">
      <c r="A101" s="2" t="s">
        <v>109</v>
      </c>
      <c r="B101" s="4" t="s">
        <v>46</v>
      </c>
      <c r="C101" s="7">
        <f t="shared" si="12"/>
        <v>2058</v>
      </c>
      <c r="D101" s="78" t="s">
        <v>48</v>
      </c>
      <c r="E101" s="67"/>
      <c r="F101" s="11" t="s">
        <v>209</v>
      </c>
      <c r="G101" s="72"/>
      <c r="H101" s="48"/>
    </row>
    <row r="102" spans="1:8" x14ac:dyDescent="0.2">
      <c r="A102" s="2" t="s">
        <v>108</v>
      </c>
      <c r="B102" s="4" t="s">
        <v>46</v>
      </c>
      <c r="C102" s="7">
        <f t="shared" si="12"/>
        <v>2059</v>
      </c>
      <c r="D102" s="78" t="s">
        <v>48</v>
      </c>
      <c r="E102" s="68"/>
      <c r="F102" s="11" t="s">
        <v>209</v>
      </c>
      <c r="G102" s="72"/>
      <c r="H102" s="48"/>
    </row>
    <row r="103" spans="1:8" x14ac:dyDescent="0.2">
      <c r="A103" s="1" t="s">
        <v>243</v>
      </c>
      <c r="B103" s="4" t="s">
        <v>46</v>
      </c>
      <c r="C103" s="7">
        <f t="shared" si="12"/>
        <v>2060</v>
      </c>
      <c r="D103" s="78" t="s">
        <v>53</v>
      </c>
      <c r="E103" s="67"/>
      <c r="F103" s="11" t="s">
        <v>106</v>
      </c>
      <c r="G103" s="72"/>
      <c r="H103" s="48"/>
    </row>
    <row r="104" spans="1:8" x14ac:dyDescent="0.2">
      <c r="A104" s="2" t="s">
        <v>244</v>
      </c>
      <c r="B104" s="4" t="s">
        <v>46</v>
      </c>
      <c r="C104" s="7">
        <f t="shared" si="12"/>
        <v>2061</v>
      </c>
      <c r="D104" s="78" t="s">
        <v>53</v>
      </c>
      <c r="E104" s="68"/>
      <c r="F104" s="11" t="s">
        <v>106</v>
      </c>
      <c r="G104" s="72"/>
      <c r="H104" s="48"/>
    </row>
    <row r="105" spans="1:8" x14ac:dyDescent="0.2">
      <c r="A105" s="2" t="s">
        <v>245</v>
      </c>
      <c r="B105" s="4" t="s">
        <v>46</v>
      </c>
      <c r="C105" s="7">
        <f t="shared" si="12"/>
        <v>2062</v>
      </c>
      <c r="D105" s="78" t="s">
        <v>53</v>
      </c>
      <c r="E105" s="68"/>
      <c r="F105" s="11" t="s">
        <v>106</v>
      </c>
      <c r="G105" s="72"/>
      <c r="H105" s="48"/>
    </row>
    <row r="106" spans="1:8" x14ac:dyDescent="0.2">
      <c r="A106" s="2" t="s">
        <v>246</v>
      </c>
      <c r="B106" s="4" t="s">
        <v>46</v>
      </c>
      <c r="C106" s="7">
        <f t="shared" si="12"/>
        <v>2063</v>
      </c>
      <c r="D106" s="78" t="s">
        <v>53</v>
      </c>
      <c r="E106" s="69"/>
      <c r="F106" s="11" t="s">
        <v>106</v>
      </c>
      <c r="G106" s="72"/>
      <c r="H106" s="48"/>
    </row>
    <row r="107" spans="1:8" x14ac:dyDescent="0.2">
      <c r="A107" s="2" t="s">
        <v>250</v>
      </c>
      <c r="B107" s="4" t="s">
        <v>46</v>
      </c>
      <c r="C107" s="7">
        <f t="shared" si="12"/>
        <v>2064</v>
      </c>
      <c r="D107" s="78" t="s">
        <v>89</v>
      </c>
      <c r="E107" s="78"/>
      <c r="F107" s="11" t="s">
        <v>209</v>
      </c>
      <c r="G107" s="72"/>
      <c r="H107" s="48"/>
    </row>
    <row r="108" spans="1:8" x14ac:dyDescent="0.2">
      <c r="A108" s="2" t="s">
        <v>254</v>
      </c>
      <c r="B108" s="4" t="s">
        <v>46</v>
      </c>
      <c r="C108" s="7">
        <f t="shared" si="12"/>
        <v>2065</v>
      </c>
      <c r="D108" s="78" t="s">
        <v>89</v>
      </c>
      <c r="E108" s="78"/>
      <c r="F108" s="11" t="s">
        <v>209</v>
      </c>
      <c r="G108" s="72"/>
      <c r="H108" s="48"/>
    </row>
    <row r="109" spans="1:8" x14ac:dyDescent="0.2">
      <c r="A109" s="2" t="s">
        <v>104</v>
      </c>
      <c r="B109" s="4" t="s">
        <v>46</v>
      </c>
      <c r="C109" s="7">
        <f t="shared" si="12"/>
        <v>2066</v>
      </c>
      <c r="D109" s="78" t="s">
        <v>89</v>
      </c>
      <c r="E109" s="78"/>
      <c r="F109" s="72" t="s">
        <v>208</v>
      </c>
      <c r="G109" s="72"/>
      <c r="H109" s="48"/>
    </row>
    <row r="110" spans="1:8" x14ac:dyDescent="0.2">
      <c r="A110" s="2" t="s">
        <v>357</v>
      </c>
      <c r="B110" s="4" t="s">
        <v>46</v>
      </c>
      <c r="C110" s="7">
        <f t="shared" ref="C110" si="13">C109+IF(OR(B109="INT",B109="UINT",B109="WORD"),1,IF(OR(B109="DINT",B109="UDINT",B109="REAL",B109="FLOAT"),2,"xxx"))*IF(OR($CA$1=1,$CA$1=3,$CA$1=4),1,2)</f>
        <v>2067</v>
      </c>
      <c r="D110" s="78" t="s">
        <v>53</v>
      </c>
      <c r="E110" s="78" t="s">
        <v>160</v>
      </c>
      <c r="F110" s="11" t="s">
        <v>130</v>
      </c>
      <c r="G110" s="72"/>
      <c r="H110" s="48"/>
    </row>
    <row r="111" spans="1:8" x14ac:dyDescent="0.2">
      <c r="A111" s="2" t="s">
        <v>251</v>
      </c>
      <c r="B111" s="4" t="s">
        <v>47</v>
      </c>
      <c r="C111" s="7">
        <f t="shared" si="12"/>
        <v>2068</v>
      </c>
      <c r="D111" s="78" t="s">
        <v>5</v>
      </c>
      <c r="E111" s="78"/>
      <c r="F111" s="72" t="s">
        <v>209</v>
      </c>
      <c r="G111" s="72"/>
      <c r="H111" s="48"/>
    </row>
    <row r="112" spans="1:8" x14ac:dyDescent="0.2">
      <c r="A112" s="2" t="s">
        <v>255</v>
      </c>
      <c r="B112" s="4" t="s">
        <v>47</v>
      </c>
      <c r="C112" s="7">
        <f t="shared" si="12"/>
        <v>2070</v>
      </c>
      <c r="D112" s="78" t="s">
        <v>5</v>
      </c>
      <c r="E112" s="78"/>
      <c r="F112" s="72" t="s">
        <v>209</v>
      </c>
      <c r="G112" s="12"/>
      <c r="H112" s="48"/>
    </row>
    <row r="113" spans="1:8" x14ac:dyDescent="0.2">
      <c r="A113" s="79" t="s">
        <v>105</v>
      </c>
      <c r="B113" s="4" t="s">
        <v>47</v>
      </c>
      <c r="C113" s="7">
        <f t="shared" ref="C113:C130" si="14">C112+IF(OR(B112="INT",B112="UINT",B112="WORD"),1,IF(OR(B112="DINT",B112="UDINT",B112="REAL",B112="FLOAT"),2,"xxx"))*IF(OR($CA$1=1,$CA$1=3,$CA$1=4),1,2)</f>
        <v>2072</v>
      </c>
      <c r="D113" s="78" t="s">
        <v>5</v>
      </c>
      <c r="E113" s="78"/>
      <c r="F113" s="72" t="s">
        <v>208</v>
      </c>
      <c r="G113" s="12"/>
      <c r="H113" s="48"/>
    </row>
    <row r="114" spans="1:8" x14ac:dyDescent="0.2">
      <c r="A114" s="39" t="s">
        <v>232</v>
      </c>
      <c r="B114" s="67" t="s">
        <v>46</v>
      </c>
      <c r="C114" s="7">
        <f t="shared" si="14"/>
        <v>2074</v>
      </c>
      <c r="D114" s="67" t="s">
        <v>53</v>
      </c>
      <c r="E114" s="78"/>
      <c r="F114" s="72"/>
      <c r="G114" s="72"/>
      <c r="H114" s="77"/>
    </row>
    <row r="115" spans="1:8" x14ac:dyDescent="0.2">
      <c r="A115" s="39" t="s">
        <v>233</v>
      </c>
      <c r="B115" s="67" t="s">
        <v>46</v>
      </c>
      <c r="C115" s="7">
        <f t="shared" si="14"/>
        <v>2075</v>
      </c>
      <c r="D115" s="68" t="s">
        <v>53</v>
      </c>
      <c r="E115" s="78"/>
      <c r="F115" s="72"/>
      <c r="G115" s="72"/>
      <c r="H115" s="77"/>
    </row>
    <row r="116" spans="1:8" x14ac:dyDescent="0.2">
      <c r="A116" s="39" t="s">
        <v>234</v>
      </c>
      <c r="B116" s="67" t="s">
        <v>46</v>
      </c>
      <c r="C116" s="7">
        <f t="shared" si="14"/>
        <v>2076</v>
      </c>
      <c r="D116" s="68" t="s">
        <v>53</v>
      </c>
      <c r="E116" s="78"/>
      <c r="F116" s="72"/>
      <c r="G116" s="72"/>
      <c r="H116" s="72"/>
    </row>
    <row r="117" spans="1:8" x14ac:dyDescent="0.2">
      <c r="A117" s="39" t="s">
        <v>235</v>
      </c>
      <c r="B117" s="76" t="s">
        <v>46</v>
      </c>
      <c r="C117" s="7">
        <f t="shared" si="14"/>
        <v>2077</v>
      </c>
      <c r="D117" s="68" t="s">
        <v>53</v>
      </c>
      <c r="E117" s="78"/>
      <c r="F117" s="72"/>
      <c r="G117" s="72"/>
      <c r="H117" s="77"/>
    </row>
    <row r="118" spans="1:8" x14ac:dyDescent="0.2">
      <c r="A118" s="39" t="s">
        <v>236</v>
      </c>
      <c r="B118" s="78" t="s">
        <v>46</v>
      </c>
      <c r="C118" s="7">
        <f t="shared" si="14"/>
        <v>2078</v>
      </c>
      <c r="D118" s="68" t="s">
        <v>53</v>
      </c>
      <c r="E118" s="78"/>
      <c r="F118" s="72"/>
      <c r="G118" s="72"/>
      <c r="H118" s="77"/>
    </row>
    <row r="119" spans="1:8" x14ac:dyDescent="0.2">
      <c r="A119" s="39" t="s">
        <v>237</v>
      </c>
      <c r="B119" s="76" t="s">
        <v>46</v>
      </c>
      <c r="C119" s="7">
        <f t="shared" si="14"/>
        <v>2079</v>
      </c>
      <c r="D119" s="69" t="s">
        <v>53</v>
      </c>
      <c r="E119" s="78"/>
      <c r="F119" s="72"/>
      <c r="G119" s="72"/>
      <c r="H119" s="77"/>
    </row>
    <row r="120" spans="1:8" x14ac:dyDescent="0.2">
      <c r="A120" s="84" t="s">
        <v>330</v>
      </c>
      <c r="B120" s="78" t="s">
        <v>46</v>
      </c>
      <c r="C120" s="7">
        <f t="shared" si="14"/>
        <v>2080</v>
      </c>
      <c r="D120" s="69" t="s">
        <v>53</v>
      </c>
      <c r="E120" s="78"/>
      <c r="F120" s="11" t="s">
        <v>191</v>
      </c>
      <c r="G120" s="72"/>
      <c r="H120" s="72"/>
    </row>
    <row r="121" spans="1:8" x14ac:dyDescent="0.2">
      <c r="A121" s="84" t="s">
        <v>331</v>
      </c>
      <c r="B121" s="78" t="s">
        <v>46</v>
      </c>
      <c r="C121" s="7">
        <f t="shared" si="14"/>
        <v>2081</v>
      </c>
      <c r="D121" s="69" t="s">
        <v>53</v>
      </c>
      <c r="E121" s="78"/>
      <c r="F121" s="72" t="s">
        <v>333</v>
      </c>
      <c r="G121" s="72"/>
      <c r="H121" s="72"/>
    </row>
    <row r="122" spans="1:8" x14ac:dyDescent="0.2">
      <c r="A122" s="84" t="s">
        <v>332</v>
      </c>
      <c r="B122" s="78" t="s">
        <v>46</v>
      </c>
      <c r="C122" s="7">
        <f t="shared" si="14"/>
        <v>2082</v>
      </c>
      <c r="D122" s="69" t="s">
        <v>53</v>
      </c>
      <c r="E122" s="78"/>
      <c r="F122" s="72" t="s">
        <v>334</v>
      </c>
      <c r="G122" s="72"/>
      <c r="H122" s="72"/>
    </row>
    <row r="123" spans="1:8" x14ac:dyDescent="0.2">
      <c r="A123" s="84" t="s">
        <v>350</v>
      </c>
      <c r="B123" s="78" t="s">
        <v>46</v>
      </c>
      <c r="C123" s="7">
        <f t="shared" si="14"/>
        <v>2083</v>
      </c>
      <c r="D123" s="78" t="s">
        <v>351</v>
      </c>
      <c r="E123" s="78"/>
      <c r="F123" s="72" t="s">
        <v>352</v>
      </c>
      <c r="G123" s="72"/>
      <c r="H123" s="72"/>
    </row>
    <row r="124" spans="1:8" x14ac:dyDescent="0.2">
      <c r="A124" s="84" t="s">
        <v>353</v>
      </c>
      <c r="B124" s="78" t="s">
        <v>46</v>
      </c>
      <c r="C124" s="7">
        <f t="shared" si="14"/>
        <v>2084</v>
      </c>
      <c r="D124" s="78" t="s">
        <v>351</v>
      </c>
      <c r="E124" s="78"/>
      <c r="F124" s="72" t="s">
        <v>352</v>
      </c>
      <c r="G124" s="72"/>
      <c r="H124" s="72"/>
    </row>
    <row r="125" spans="1:8" x14ac:dyDescent="0.2">
      <c r="A125" s="84" t="s">
        <v>354</v>
      </c>
      <c r="B125" s="78" t="s">
        <v>46</v>
      </c>
      <c r="C125" s="7">
        <f t="shared" si="14"/>
        <v>2085</v>
      </c>
      <c r="D125" s="78" t="s">
        <v>351</v>
      </c>
      <c r="E125" s="78"/>
      <c r="F125" s="72" t="s">
        <v>352</v>
      </c>
      <c r="G125" s="72"/>
      <c r="H125" s="72"/>
    </row>
    <row r="126" spans="1:8" x14ac:dyDescent="0.2">
      <c r="A126" s="84" t="s">
        <v>393</v>
      </c>
      <c r="B126" s="78" t="s">
        <v>46</v>
      </c>
      <c r="C126" s="7">
        <f t="shared" si="14"/>
        <v>2086</v>
      </c>
      <c r="D126" s="69" t="s">
        <v>53</v>
      </c>
      <c r="E126" s="78"/>
      <c r="F126" s="72"/>
      <c r="G126" s="72"/>
      <c r="H126" s="72"/>
    </row>
    <row r="127" spans="1:8" x14ac:dyDescent="0.2">
      <c r="A127" s="84" t="s">
        <v>394</v>
      </c>
      <c r="B127" s="78" t="s">
        <v>46</v>
      </c>
      <c r="C127" s="7">
        <f t="shared" si="14"/>
        <v>2087</v>
      </c>
      <c r="D127" s="69" t="s">
        <v>53</v>
      </c>
      <c r="E127" s="78"/>
      <c r="F127" s="72" t="s">
        <v>395</v>
      </c>
      <c r="G127" s="72"/>
      <c r="H127" s="72"/>
    </row>
    <row r="128" spans="1:8" x14ac:dyDescent="0.2">
      <c r="A128" s="84"/>
      <c r="B128" s="78" t="s">
        <v>46</v>
      </c>
      <c r="C128" s="7">
        <f t="shared" si="14"/>
        <v>2088</v>
      </c>
      <c r="D128" s="78"/>
      <c r="E128" s="78"/>
      <c r="F128" s="72"/>
      <c r="G128" s="72"/>
      <c r="H128" s="72"/>
    </row>
    <row r="129" spans="1:16" x14ac:dyDescent="0.2">
      <c r="A129" s="84"/>
      <c r="B129" s="78" t="s">
        <v>46</v>
      </c>
      <c r="C129" s="7">
        <f t="shared" si="14"/>
        <v>2089</v>
      </c>
      <c r="D129" s="78"/>
      <c r="E129" s="78"/>
      <c r="F129" s="72"/>
      <c r="G129" s="72"/>
      <c r="H129" s="72"/>
    </row>
    <row r="130" spans="1:16" x14ac:dyDescent="0.2">
      <c r="A130" s="84"/>
      <c r="B130" s="78" t="s">
        <v>46</v>
      </c>
      <c r="C130" s="7">
        <f t="shared" si="14"/>
        <v>2090</v>
      </c>
      <c r="D130" s="78"/>
      <c r="E130" s="78"/>
      <c r="F130" s="72"/>
      <c r="G130" s="72"/>
      <c r="H130" s="72"/>
    </row>
    <row r="131" spans="1:16" x14ac:dyDescent="0.2">
      <c r="A131" s="84"/>
      <c r="B131" s="78" t="s">
        <v>46</v>
      </c>
      <c r="C131" s="7">
        <f t="shared" ref="C131:C136" si="15">C130+IF(OR(B130="INT",B130="UINT",B130="WORD"),1,IF(OR(B130="DINT",B130="UDINT",B130="REAL",B130="FLOAT"),2,"xxx"))*IF(OR($CA$1=1,$CA$1=3,$CA$1=4),1,2)</f>
        <v>2091</v>
      </c>
      <c r="D131" s="78"/>
      <c r="E131" s="78"/>
      <c r="F131" s="72"/>
      <c r="G131" s="72"/>
      <c r="H131" s="72"/>
    </row>
    <row r="132" spans="1:16" x14ac:dyDescent="0.2">
      <c r="A132" s="84"/>
      <c r="B132" s="78" t="s">
        <v>46</v>
      </c>
      <c r="C132" s="7">
        <f t="shared" si="15"/>
        <v>2092</v>
      </c>
      <c r="D132" s="78"/>
      <c r="E132" s="78"/>
      <c r="F132" s="72"/>
      <c r="G132" s="72"/>
      <c r="H132" s="72"/>
    </row>
    <row r="133" spans="1:16" x14ac:dyDescent="0.2">
      <c r="A133" s="84"/>
      <c r="B133" s="78" t="s">
        <v>46</v>
      </c>
      <c r="C133" s="7">
        <f t="shared" si="15"/>
        <v>2093</v>
      </c>
      <c r="D133" s="78"/>
      <c r="E133" s="78"/>
      <c r="F133" s="72"/>
      <c r="G133" s="72"/>
      <c r="H133" s="72"/>
    </row>
    <row r="134" spans="1:16" x14ac:dyDescent="0.2">
      <c r="A134" s="84"/>
      <c r="B134" s="78" t="s">
        <v>46</v>
      </c>
      <c r="C134" s="7">
        <f t="shared" si="15"/>
        <v>2094</v>
      </c>
      <c r="D134" s="78"/>
      <c r="E134" s="78"/>
      <c r="F134" s="72"/>
      <c r="G134" s="72"/>
      <c r="H134" s="72"/>
    </row>
    <row r="135" spans="1:16" x14ac:dyDescent="0.2">
      <c r="A135" s="84"/>
      <c r="B135" s="78" t="s">
        <v>46</v>
      </c>
      <c r="C135" s="7">
        <f t="shared" si="15"/>
        <v>2095</v>
      </c>
      <c r="D135" s="78"/>
      <c r="E135" s="78"/>
      <c r="F135" s="72"/>
      <c r="G135" s="72"/>
      <c r="H135" s="72"/>
    </row>
    <row r="136" spans="1:16" x14ac:dyDescent="0.2">
      <c r="A136" s="84"/>
      <c r="B136" s="78" t="s">
        <v>46</v>
      </c>
      <c r="C136" s="7">
        <f t="shared" si="15"/>
        <v>2096</v>
      </c>
      <c r="D136" s="78"/>
      <c r="E136" s="78"/>
      <c r="F136" s="72"/>
      <c r="G136" s="72"/>
      <c r="H136" s="72"/>
    </row>
    <row r="137" spans="1:16" x14ac:dyDescent="0.2">
      <c r="A137" s="84"/>
      <c r="B137" s="78" t="s">
        <v>46</v>
      </c>
      <c r="C137" s="7">
        <f>C136+IF(OR(B136="INT",B136="UINT",B136="WORD"),1,IF(OR(B136="DINT",B136="UDINT",B136="REAL",B136="FLOAT"),2,"xxx"))*IF(OR($CA$1=1,$CA$1=3,$CA$1=4),1,2)</f>
        <v>2097</v>
      </c>
      <c r="D137" s="78"/>
      <c r="E137" s="78"/>
      <c r="F137" s="72"/>
      <c r="G137" s="72"/>
      <c r="H137" s="72"/>
    </row>
    <row r="138" spans="1:16" x14ac:dyDescent="0.2">
      <c r="A138" s="84"/>
      <c r="B138" s="78" t="s">
        <v>46</v>
      </c>
      <c r="C138" s="7">
        <f>C137+IF(OR(B137="INT",B137="UINT",B137="WORD"),1,IF(OR(B137="DINT",B137="UDINT",B137="REAL",B137="FLOAT"),2,"xxx"))*IF(OR($CA$1=1,$CA$1=3,$CA$1=4),1,2)</f>
        <v>2098</v>
      </c>
      <c r="D138" s="78"/>
      <c r="E138" s="78"/>
      <c r="F138" s="72"/>
      <c r="G138" s="72"/>
      <c r="H138" s="72"/>
    </row>
    <row r="139" spans="1:16" x14ac:dyDescent="0.2">
      <c r="A139" s="84"/>
      <c r="B139" s="78" t="s">
        <v>46</v>
      </c>
      <c r="C139" s="7">
        <f>C138+IF(OR(B138="INT",B138="UINT",B138="WORD"),1,IF(OR(B138="DINT",B138="UDINT",B138="REAL",B138="FLOAT"),2,"xxx"))*IF(OR($CA$1=1,$CA$1=3,$CA$1=4),1,2)</f>
        <v>2099</v>
      </c>
      <c r="D139" s="78"/>
      <c r="E139" s="78"/>
      <c r="F139" s="72"/>
      <c r="G139" s="72"/>
      <c r="H139" s="72"/>
    </row>
    <row r="140" spans="1:16" x14ac:dyDescent="0.2">
      <c r="A140" s="98" t="s">
        <v>95</v>
      </c>
      <c r="B140" s="99"/>
      <c r="C140" s="99"/>
      <c r="D140" s="99"/>
      <c r="E140" s="99"/>
      <c r="F140" s="99"/>
      <c r="G140" s="99"/>
      <c r="H140" s="100"/>
      <c r="I140" s="103" t="s">
        <v>78</v>
      </c>
      <c r="J140" s="99"/>
      <c r="K140" s="99"/>
      <c r="L140" s="99"/>
      <c r="M140" s="99"/>
      <c r="N140" s="99"/>
      <c r="O140" s="99"/>
      <c r="P140" s="104"/>
    </row>
    <row r="141" spans="1:16" x14ac:dyDescent="0.2">
      <c r="A141" s="35" t="s">
        <v>0</v>
      </c>
      <c r="B141" s="34" t="s">
        <v>2</v>
      </c>
      <c r="C141" s="34" t="s">
        <v>1</v>
      </c>
      <c r="D141" s="71" t="s">
        <v>3</v>
      </c>
      <c r="E141" s="71" t="s">
        <v>0</v>
      </c>
      <c r="F141" s="57" t="s">
        <v>4</v>
      </c>
      <c r="G141" s="54"/>
      <c r="H141" s="55"/>
      <c r="I141" s="45" t="str">
        <f t="shared" ref="I141:N141" si="16">A141</f>
        <v>Symbol</v>
      </c>
      <c r="J141" s="45" t="str">
        <f t="shared" si="16"/>
        <v>Data type</v>
      </c>
      <c r="K141" s="45" t="str">
        <f t="shared" si="16"/>
        <v>Address</v>
      </c>
      <c r="L141" s="45" t="str">
        <f t="shared" si="16"/>
        <v>Unit</v>
      </c>
      <c r="M141" s="45" t="str">
        <f t="shared" si="16"/>
        <v>Symbol</v>
      </c>
      <c r="N141" s="45" t="str">
        <f t="shared" si="16"/>
        <v>Comment</v>
      </c>
      <c r="O141" s="54"/>
      <c r="P141" s="58"/>
    </row>
    <row r="142" spans="1:16" x14ac:dyDescent="0.2">
      <c r="A142" s="25" t="s">
        <v>34</v>
      </c>
      <c r="B142" s="26" t="s">
        <v>46</v>
      </c>
      <c r="C142" s="7">
        <f>$E$8+0</f>
        <v>2100</v>
      </c>
      <c r="D142" s="64"/>
      <c r="E142" s="64"/>
      <c r="F142" s="27"/>
      <c r="G142" s="28"/>
      <c r="H142" s="47"/>
      <c r="I142" s="46" t="str">
        <f>A142</f>
        <v>ReceiveState1</v>
      </c>
      <c r="J142" s="26" t="str">
        <f>IF(B142&lt;&gt;"",B142,"")</f>
        <v>INT</v>
      </c>
      <c r="K142" s="22">
        <f>C142</f>
        <v>2100</v>
      </c>
      <c r="L142" s="26" t="str">
        <f>IF(D142&lt;&gt;"",D142,"")</f>
        <v/>
      </c>
      <c r="M142" s="26" t="str">
        <f>IF(E142&lt;&gt;"",E142,"")</f>
        <v/>
      </c>
      <c r="N142" s="27"/>
      <c r="O142" s="28"/>
      <c r="P142" s="59"/>
    </row>
    <row r="143" spans="1:16" x14ac:dyDescent="0.2">
      <c r="A143" s="1" t="s">
        <v>92</v>
      </c>
      <c r="B143" s="9" t="s">
        <v>31</v>
      </c>
      <c r="C143" s="6" t="s">
        <v>14</v>
      </c>
      <c r="D143" s="4"/>
      <c r="E143" s="4"/>
      <c r="F143" s="11"/>
      <c r="G143" s="16"/>
      <c r="H143" s="48"/>
      <c r="I143" s="11" t="str">
        <f>IF(ISBLANK(A151),"",A151)</f>
        <v/>
      </c>
      <c r="J143" s="9" t="str">
        <f>IF(B143&lt;&gt;"",B143,"")</f>
        <v>BIT</v>
      </c>
      <c r="K143" s="6" t="s">
        <v>14</v>
      </c>
      <c r="L143" s="9" t="str">
        <f>IF(D143&lt;&gt;"",D143,"")</f>
        <v/>
      </c>
      <c r="M143" s="9" t="str">
        <f>IF(E143&lt;&gt;"",E143,"")</f>
        <v/>
      </c>
      <c r="N143" s="11" t="str">
        <f t="shared" ref="N143:N150" si="17">IF(ISBLANK(F151),"",F151)</f>
        <v/>
      </c>
      <c r="O143" s="12"/>
      <c r="P143" s="56"/>
    </row>
    <row r="144" spans="1:16" x14ac:dyDescent="0.2">
      <c r="A144" s="1" t="s">
        <v>83</v>
      </c>
      <c r="B144" s="5" t="s">
        <v>31</v>
      </c>
      <c r="C144" s="6" t="s">
        <v>15</v>
      </c>
      <c r="D144" s="4"/>
      <c r="E144" s="4"/>
      <c r="F144" s="11" t="s">
        <v>313</v>
      </c>
      <c r="G144" s="12"/>
      <c r="H144" s="48"/>
      <c r="I144" s="11" t="str">
        <f t="shared" ref="I144:I150" si="18">IF(ISBLANK(A152),"",A152)</f>
        <v/>
      </c>
      <c r="J144" s="9" t="str">
        <f t="shared" ref="J144:J158" si="19">IF(B144&lt;&gt;"",B144,"")</f>
        <v>BIT</v>
      </c>
      <c r="K144" s="6" t="s">
        <v>15</v>
      </c>
      <c r="L144" s="9" t="str">
        <f t="shared" ref="L144:L158" si="20">IF(D144&lt;&gt;"",D144,"")</f>
        <v/>
      </c>
      <c r="M144" s="9" t="str">
        <f t="shared" ref="M144:M158" si="21">IF(E144&lt;&gt;"",E144,"")</f>
        <v/>
      </c>
      <c r="N144" s="11" t="str">
        <f t="shared" si="17"/>
        <v/>
      </c>
      <c r="O144" s="12"/>
      <c r="P144" s="56"/>
    </row>
    <row r="145" spans="1:16" x14ac:dyDescent="0.2">
      <c r="A145" s="1" t="s">
        <v>85</v>
      </c>
      <c r="B145" s="5" t="s">
        <v>31</v>
      </c>
      <c r="C145" s="6" t="s">
        <v>16</v>
      </c>
      <c r="D145" s="4"/>
      <c r="E145" s="4"/>
      <c r="F145" s="11" t="s">
        <v>98</v>
      </c>
      <c r="G145" s="12"/>
      <c r="H145" s="48"/>
      <c r="I145" s="11" t="str">
        <f t="shared" si="18"/>
        <v/>
      </c>
      <c r="J145" s="9" t="str">
        <f t="shared" si="19"/>
        <v>BIT</v>
      </c>
      <c r="K145" s="6" t="s">
        <v>16</v>
      </c>
      <c r="L145" s="9" t="str">
        <f t="shared" si="20"/>
        <v/>
      </c>
      <c r="M145" s="9" t="str">
        <f t="shared" si="21"/>
        <v/>
      </c>
      <c r="N145" s="11" t="str">
        <f t="shared" si="17"/>
        <v/>
      </c>
      <c r="O145" s="12"/>
      <c r="P145" s="56"/>
    </row>
    <row r="146" spans="1:16" x14ac:dyDescent="0.2">
      <c r="A146" s="1" t="s">
        <v>127</v>
      </c>
      <c r="B146" s="5" t="s">
        <v>31</v>
      </c>
      <c r="C146" s="6" t="s">
        <v>17</v>
      </c>
      <c r="D146" s="4"/>
      <c r="E146" s="4"/>
      <c r="F146" s="11"/>
      <c r="G146" s="12"/>
      <c r="H146" s="48"/>
      <c r="I146" s="11" t="str">
        <f t="shared" si="18"/>
        <v/>
      </c>
      <c r="J146" s="9" t="str">
        <f t="shared" si="19"/>
        <v>BIT</v>
      </c>
      <c r="K146" s="6" t="s">
        <v>17</v>
      </c>
      <c r="L146" s="9" t="str">
        <f t="shared" si="20"/>
        <v/>
      </c>
      <c r="M146" s="9" t="str">
        <f t="shared" si="21"/>
        <v/>
      </c>
      <c r="N146" s="11" t="str">
        <f t="shared" si="17"/>
        <v/>
      </c>
      <c r="O146" s="12"/>
      <c r="P146" s="56"/>
    </row>
    <row r="147" spans="1:16" x14ac:dyDescent="0.2">
      <c r="A147" s="1" t="s">
        <v>145</v>
      </c>
      <c r="B147" s="5" t="s">
        <v>31</v>
      </c>
      <c r="C147" s="6" t="s">
        <v>18</v>
      </c>
      <c r="D147" s="4"/>
      <c r="E147" s="4"/>
      <c r="F147" s="11" t="s">
        <v>239</v>
      </c>
      <c r="G147" s="12"/>
      <c r="H147" s="48"/>
      <c r="I147" s="11" t="str">
        <f t="shared" si="18"/>
        <v/>
      </c>
      <c r="J147" s="9" t="str">
        <f t="shared" si="19"/>
        <v>BIT</v>
      </c>
      <c r="K147" s="6" t="s">
        <v>18</v>
      </c>
      <c r="L147" s="9" t="str">
        <f t="shared" si="20"/>
        <v/>
      </c>
      <c r="M147" s="9" t="str">
        <f t="shared" si="21"/>
        <v/>
      </c>
      <c r="N147" s="11" t="str">
        <f t="shared" si="17"/>
        <v/>
      </c>
      <c r="O147" s="12"/>
      <c r="P147" s="56"/>
    </row>
    <row r="148" spans="1:16" x14ac:dyDescent="0.2">
      <c r="A148" s="1"/>
      <c r="B148" s="5" t="s">
        <v>31</v>
      </c>
      <c r="C148" s="6" t="s">
        <v>19</v>
      </c>
      <c r="D148" s="4"/>
      <c r="E148" s="4"/>
      <c r="F148" s="11"/>
      <c r="G148" s="12"/>
      <c r="H148" s="48"/>
      <c r="I148" s="11" t="str">
        <f t="shared" si="18"/>
        <v/>
      </c>
      <c r="J148" s="9" t="str">
        <f t="shared" si="19"/>
        <v>BIT</v>
      </c>
      <c r="K148" s="6" t="s">
        <v>19</v>
      </c>
      <c r="L148" s="9" t="str">
        <f t="shared" si="20"/>
        <v/>
      </c>
      <c r="M148" s="9" t="str">
        <f t="shared" si="21"/>
        <v/>
      </c>
      <c r="N148" s="11" t="str">
        <f t="shared" si="17"/>
        <v/>
      </c>
      <c r="O148" s="12"/>
      <c r="P148" s="56"/>
    </row>
    <row r="149" spans="1:16" x14ac:dyDescent="0.2">
      <c r="A149" s="1"/>
      <c r="B149" s="5" t="s">
        <v>31</v>
      </c>
      <c r="C149" s="6" t="s">
        <v>20</v>
      </c>
      <c r="D149" s="4"/>
      <c r="E149" s="4"/>
      <c r="F149" s="11"/>
      <c r="G149" s="12"/>
      <c r="H149" s="48"/>
      <c r="I149" s="11" t="str">
        <f t="shared" si="18"/>
        <v/>
      </c>
      <c r="J149" s="9" t="str">
        <f t="shared" si="19"/>
        <v>BIT</v>
      </c>
      <c r="K149" s="6" t="s">
        <v>20</v>
      </c>
      <c r="L149" s="9" t="str">
        <f t="shared" si="20"/>
        <v/>
      </c>
      <c r="M149" s="9" t="str">
        <f t="shared" si="21"/>
        <v/>
      </c>
      <c r="N149" s="11" t="str">
        <f t="shared" si="17"/>
        <v/>
      </c>
      <c r="O149" s="12"/>
      <c r="P149" s="56"/>
    </row>
    <row r="150" spans="1:16" x14ac:dyDescent="0.2">
      <c r="A150" s="1"/>
      <c r="B150" s="5" t="s">
        <v>31</v>
      </c>
      <c r="C150" s="6" t="s">
        <v>21</v>
      </c>
      <c r="D150" s="4"/>
      <c r="E150" s="4"/>
      <c r="F150" s="11"/>
      <c r="G150" s="12"/>
      <c r="H150" s="48"/>
      <c r="I150" s="11" t="str">
        <f t="shared" si="18"/>
        <v>CommCheck</v>
      </c>
      <c r="J150" s="9" t="str">
        <f t="shared" si="19"/>
        <v>BIT</v>
      </c>
      <c r="K150" s="6" t="s">
        <v>21</v>
      </c>
      <c r="L150" s="9" t="str">
        <f t="shared" si="20"/>
        <v/>
      </c>
      <c r="M150" s="9" t="str">
        <f t="shared" si="21"/>
        <v/>
      </c>
      <c r="N150" s="11" t="str">
        <f t="shared" si="17"/>
        <v>Tells heatpump communication is working, alarm if remote control on and state stays same for 100s. You can write back comm check signal heatpump writes, or make your own alternating signal. Alarm will not stop heatpump</v>
      </c>
      <c r="O150" s="12"/>
      <c r="P150" s="56"/>
    </row>
    <row r="151" spans="1:16" x14ac:dyDescent="0.2">
      <c r="A151" s="1"/>
      <c r="B151" s="5" t="s">
        <v>31</v>
      </c>
      <c r="C151" s="6" t="s">
        <v>22</v>
      </c>
      <c r="D151" s="4"/>
      <c r="E151" s="4"/>
      <c r="F151" s="11"/>
      <c r="G151" s="12"/>
      <c r="H151" s="48"/>
      <c r="I151" s="11" t="str">
        <f>IF(ISBLANK(A143),"",A143)</f>
        <v>ResetAlarms</v>
      </c>
      <c r="J151" s="9" t="str">
        <f t="shared" si="19"/>
        <v>BIT</v>
      </c>
      <c r="K151" s="6" t="s">
        <v>22</v>
      </c>
      <c r="L151" s="9" t="str">
        <f t="shared" si="20"/>
        <v/>
      </c>
      <c r="M151" s="9" t="str">
        <f t="shared" si="21"/>
        <v/>
      </c>
      <c r="N151" s="11" t="str">
        <f t="shared" ref="N151:N158" si="22">IF(ISBLANK(F143),"",F143)</f>
        <v/>
      </c>
      <c r="O151" s="12"/>
      <c r="P151" s="56"/>
    </row>
    <row r="152" spans="1:16" x14ac:dyDescent="0.2">
      <c r="A152" s="1"/>
      <c r="B152" s="5" t="s">
        <v>31</v>
      </c>
      <c r="C152" s="6" t="s">
        <v>23</v>
      </c>
      <c r="D152" s="4"/>
      <c r="E152" s="4"/>
      <c r="F152" s="11"/>
      <c r="G152" s="12"/>
      <c r="H152" s="48"/>
      <c r="I152" s="11" t="str">
        <f t="shared" ref="I152:I158" si="23">IF(ISBLANK(A144),"",A144)</f>
        <v>RemoteStop</v>
      </c>
      <c r="J152" s="9" t="str">
        <f t="shared" si="19"/>
        <v>BIT</v>
      </c>
      <c r="K152" s="6" t="s">
        <v>23</v>
      </c>
      <c r="L152" s="9" t="str">
        <f t="shared" si="20"/>
        <v/>
      </c>
      <c r="M152" s="9" t="str">
        <f t="shared" si="21"/>
        <v/>
      </c>
      <c r="N152" s="11" t="str">
        <f t="shared" si="22"/>
        <v>Heatpump start permission is off as long as this is on</v>
      </c>
      <c r="O152" s="12"/>
      <c r="P152" s="56"/>
    </row>
    <row r="153" spans="1:16" x14ac:dyDescent="0.2">
      <c r="A153" s="1"/>
      <c r="B153" s="5" t="s">
        <v>31</v>
      </c>
      <c r="C153" s="6" t="s">
        <v>24</v>
      </c>
      <c r="D153" s="4"/>
      <c r="E153" s="4"/>
      <c r="F153" s="11"/>
      <c r="G153" s="12"/>
      <c r="H153" s="48"/>
      <c r="I153" s="11" t="str">
        <f t="shared" si="23"/>
        <v>PowerControlExternalOn</v>
      </c>
      <c r="J153" s="9" t="str">
        <f t="shared" si="19"/>
        <v>BIT</v>
      </c>
      <c r="K153" s="6" t="s">
        <v>24</v>
      </c>
      <c r="L153" s="9" t="str">
        <f t="shared" si="20"/>
        <v/>
      </c>
      <c r="M153" s="9" t="str">
        <f t="shared" si="21"/>
        <v/>
      </c>
      <c r="N153" s="11" t="str">
        <f t="shared" si="22"/>
        <v>Lets you control heatpump power directly by inputting value to "PowerControlExternal"</v>
      </c>
      <c r="O153" s="12"/>
      <c r="P153" s="56"/>
    </row>
    <row r="154" spans="1:16" x14ac:dyDescent="0.2">
      <c r="A154" s="1"/>
      <c r="B154" s="5" t="s">
        <v>31</v>
      </c>
      <c r="C154" s="6" t="s">
        <v>25</v>
      </c>
      <c r="D154" s="4"/>
      <c r="E154" s="4"/>
      <c r="F154" s="11"/>
      <c r="G154" s="12"/>
      <c r="H154" s="48"/>
      <c r="I154" s="11" t="str">
        <f t="shared" si="23"/>
        <v>ParallelConnection</v>
      </c>
      <c r="J154" s="9" t="str">
        <f t="shared" si="19"/>
        <v>BIT</v>
      </c>
      <c r="K154" s="6" t="s">
        <v>25</v>
      </c>
      <c r="L154" s="9" t="str">
        <f t="shared" si="20"/>
        <v/>
      </c>
      <c r="M154" s="9" t="str">
        <f t="shared" si="21"/>
        <v/>
      </c>
      <c r="N154" s="11" t="str">
        <f t="shared" si="22"/>
        <v/>
      </c>
      <c r="O154" s="12"/>
      <c r="P154" s="56"/>
    </row>
    <row r="155" spans="1:16" x14ac:dyDescent="0.2">
      <c r="A155" s="1"/>
      <c r="B155" s="5" t="s">
        <v>31</v>
      </c>
      <c r="C155" s="6" t="s">
        <v>26</v>
      </c>
      <c r="D155" s="4"/>
      <c r="E155" s="4"/>
      <c r="F155" s="11"/>
      <c r="G155" s="12"/>
      <c r="H155" s="48"/>
      <c r="I155" s="11" t="str">
        <f t="shared" si="23"/>
        <v>SeparateSetpoints</v>
      </c>
      <c r="J155" s="9" t="str">
        <f t="shared" si="19"/>
        <v>BIT</v>
      </c>
      <c r="K155" s="6" t="s">
        <v>26</v>
      </c>
      <c r="L155" s="9" t="str">
        <f t="shared" si="20"/>
        <v/>
      </c>
      <c r="M155" s="9" t="str">
        <f t="shared" si="21"/>
        <v/>
      </c>
      <c r="N155" s="11" t="str">
        <f t="shared" si="22"/>
        <v>Own setpoint for each heatpump, if 0, master writes setpoint to slaves. Has no effect if ParallelConnection is not on.</v>
      </c>
      <c r="O155" s="12"/>
      <c r="P155" s="56"/>
    </row>
    <row r="156" spans="1:16" x14ac:dyDescent="0.2">
      <c r="A156" s="1"/>
      <c r="B156" s="5" t="s">
        <v>31</v>
      </c>
      <c r="C156" s="6" t="s">
        <v>27</v>
      </c>
      <c r="D156" s="4"/>
      <c r="E156" s="4"/>
      <c r="F156" s="11"/>
      <c r="G156" s="12"/>
      <c r="H156" s="48"/>
      <c r="I156" s="11" t="str">
        <f t="shared" si="23"/>
        <v/>
      </c>
      <c r="J156" s="9" t="str">
        <f t="shared" si="19"/>
        <v>BIT</v>
      </c>
      <c r="K156" s="6" t="s">
        <v>27</v>
      </c>
      <c r="L156" s="9" t="str">
        <f t="shared" si="20"/>
        <v/>
      </c>
      <c r="M156" s="9" t="str">
        <f t="shared" si="21"/>
        <v/>
      </c>
      <c r="N156" s="11" t="str">
        <f t="shared" si="22"/>
        <v/>
      </c>
      <c r="O156" s="12"/>
      <c r="P156" s="56"/>
    </row>
    <row r="157" spans="1:16" x14ac:dyDescent="0.2">
      <c r="A157" s="1"/>
      <c r="B157" s="5" t="s">
        <v>31</v>
      </c>
      <c r="C157" s="6" t="s">
        <v>28</v>
      </c>
      <c r="D157" s="4"/>
      <c r="E157" s="4"/>
      <c r="F157" s="11"/>
      <c r="G157" s="12"/>
      <c r="H157" s="48"/>
      <c r="I157" s="11" t="str">
        <f t="shared" si="23"/>
        <v/>
      </c>
      <c r="J157" s="9" t="str">
        <f t="shared" si="19"/>
        <v>BIT</v>
      </c>
      <c r="K157" s="6" t="s">
        <v>28</v>
      </c>
      <c r="L157" s="9" t="str">
        <f t="shared" si="20"/>
        <v/>
      </c>
      <c r="M157" s="9" t="str">
        <f t="shared" si="21"/>
        <v/>
      </c>
      <c r="N157" s="11" t="str">
        <f t="shared" si="22"/>
        <v/>
      </c>
      <c r="O157" s="12"/>
      <c r="P157" s="56"/>
    </row>
    <row r="158" spans="1:16" x14ac:dyDescent="0.2">
      <c r="A158" s="33" t="s">
        <v>33</v>
      </c>
      <c r="B158" s="36" t="s">
        <v>31</v>
      </c>
      <c r="C158" s="29" t="s">
        <v>29</v>
      </c>
      <c r="D158" s="66"/>
      <c r="E158" s="66"/>
      <c r="F158" s="11" t="s">
        <v>97</v>
      </c>
      <c r="G158" s="12"/>
      <c r="H158" s="48"/>
      <c r="I158" s="11" t="str">
        <f t="shared" si="23"/>
        <v/>
      </c>
      <c r="J158" s="9" t="str">
        <f t="shared" si="19"/>
        <v>BIT</v>
      </c>
      <c r="K158" s="29" t="s">
        <v>29</v>
      </c>
      <c r="L158" s="9" t="str">
        <f t="shared" si="20"/>
        <v/>
      </c>
      <c r="M158" s="9" t="str">
        <f t="shared" si="21"/>
        <v/>
      </c>
      <c r="N158" s="11" t="str">
        <f t="shared" si="22"/>
        <v/>
      </c>
      <c r="O158" s="12"/>
      <c r="P158" s="56"/>
    </row>
    <row r="159" spans="1:16" x14ac:dyDescent="0.2">
      <c r="A159" s="25" t="s">
        <v>35</v>
      </c>
      <c r="B159" s="26" t="s">
        <v>46</v>
      </c>
      <c r="C159" s="7">
        <f>C142+IF(OR(B142="INT",B142="UINT",B142="WORD"),1,IF(OR(B142="DINT",B142="UDINT",B142="REAL",B142="FLOAT"),2,"xxx"))*IF(OR($CA$1=1,$CA$1=3,$CA$1=4),1,2)</f>
        <v>2101</v>
      </c>
      <c r="D159" s="64"/>
      <c r="E159" s="64"/>
      <c r="F159" s="27"/>
      <c r="G159" s="28"/>
      <c r="H159" s="47"/>
      <c r="I159" s="46" t="str">
        <f>A159</f>
        <v>ReceiveState2</v>
      </c>
      <c r="J159" s="26" t="str">
        <f>B159</f>
        <v>INT</v>
      </c>
      <c r="K159" s="22">
        <f>C159</f>
        <v>2101</v>
      </c>
      <c r="L159" s="64"/>
      <c r="M159" s="64"/>
      <c r="N159" s="27"/>
      <c r="O159" s="28"/>
      <c r="P159" s="59"/>
    </row>
    <row r="160" spans="1:16" x14ac:dyDescent="0.2">
      <c r="A160" s="1" t="s">
        <v>32</v>
      </c>
      <c r="B160" s="9" t="s">
        <v>31</v>
      </c>
      <c r="C160" s="6" t="s">
        <v>14</v>
      </c>
      <c r="D160" s="4"/>
      <c r="E160" s="4"/>
      <c r="F160" s="11"/>
      <c r="G160" s="16"/>
      <c r="H160" s="48"/>
      <c r="I160" s="11" t="str">
        <f>IF(ISBLANK(A168),"",A168)</f>
        <v>Res</v>
      </c>
      <c r="J160" s="9" t="str">
        <f>B160</f>
        <v>BIT</v>
      </c>
      <c r="K160" s="9" t="str">
        <f>C160</f>
        <v>.0</v>
      </c>
      <c r="L160" s="4"/>
      <c r="M160" s="4"/>
      <c r="N160" s="11" t="str">
        <f t="shared" ref="N160:N167" si="24">IF(ISBLANK(F168),"",F168)</f>
        <v/>
      </c>
      <c r="O160" s="12"/>
      <c r="P160" s="56"/>
    </row>
    <row r="161" spans="1:16" x14ac:dyDescent="0.2">
      <c r="A161" s="1" t="s">
        <v>32</v>
      </c>
      <c r="B161" s="5" t="s">
        <v>31</v>
      </c>
      <c r="C161" s="6" t="s">
        <v>15</v>
      </c>
      <c r="D161" s="4"/>
      <c r="E161" s="4"/>
      <c r="F161" s="11"/>
      <c r="G161" s="12"/>
      <c r="H161" s="48"/>
      <c r="I161" s="11" t="str">
        <f t="shared" ref="I161:I167" si="25">IF(ISBLANK(A169),"",A169)</f>
        <v>Res</v>
      </c>
      <c r="J161" s="9" t="str">
        <f t="shared" ref="J161:J175" si="26">B161</f>
        <v>BIT</v>
      </c>
      <c r="K161" s="9" t="str">
        <f t="shared" ref="K161:K175" si="27">C161</f>
        <v>.1</v>
      </c>
      <c r="L161" s="4"/>
      <c r="M161" s="4"/>
      <c r="N161" s="11" t="str">
        <f t="shared" si="24"/>
        <v/>
      </c>
      <c r="O161" s="12"/>
      <c r="P161" s="56"/>
    </row>
    <row r="162" spans="1:16" x14ac:dyDescent="0.2">
      <c r="A162" s="1" t="s">
        <v>32</v>
      </c>
      <c r="B162" s="5" t="s">
        <v>31</v>
      </c>
      <c r="C162" s="6" t="s">
        <v>16</v>
      </c>
      <c r="D162" s="4"/>
      <c r="E162" s="4"/>
      <c r="F162" s="11"/>
      <c r="G162" s="12"/>
      <c r="H162" s="48"/>
      <c r="I162" s="11" t="str">
        <f t="shared" si="25"/>
        <v>Res</v>
      </c>
      <c r="J162" s="9" t="str">
        <f t="shared" si="26"/>
        <v>BIT</v>
      </c>
      <c r="K162" s="9" t="str">
        <f t="shared" si="27"/>
        <v>.2</v>
      </c>
      <c r="L162" s="4"/>
      <c r="M162" s="4"/>
      <c r="N162" s="11" t="str">
        <f t="shared" si="24"/>
        <v/>
      </c>
      <c r="O162" s="12"/>
      <c r="P162" s="56"/>
    </row>
    <row r="163" spans="1:16" x14ac:dyDescent="0.2">
      <c r="A163" s="1" t="s">
        <v>32</v>
      </c>
      <c r="B163" s="5" t="s">
        <v>31</v>
      </c>
      <c r="C163" s="6" t="s">
        <v>17</v>
      </c>
      <c r="D163" s="4"/>
      <c r="E163" s="4"/>
      <c r="F163" s="11"/>
      <c r="G163" s="12"/>
      <c r="H163" s="48"/>
      <c r="I163" s="11" t="str">
        <f t="shared" si="25"/>
        <v>Res</v>
      </c>
      <c r="J163" s="9" t="str">
        <f t="shared" si="26"/>
        <v>BIT</v>
      </c>
      <c r="K163" s="9" t="str">
        <f t="shared" si="27"/>
        <v>.3</v>
      </c>
      <c r="L163" s="4"/>
      <c r="M163" s="4"/>
      <c r="N163" s="11" t="str">
        <f t="shared" si="24"/>
        <v/>
      </c>
      <c r="O163" s="12"/>
      <c r="P163" s="56"/>
    </row>
    <row r="164" spans="1:16" x14ac:dyDescent="0.2">
      <c r="A164" s="1" t="s">
        <v>32</v>
      </c>
      <c r="B164" s="5" t="s">
        <v>31</v>
      </c>
      <c r="C164" s="6" t="s">
        <v>18</v>
      </c>
      <c r="D164" s="4"/>
      <c r="E164" s="4"/>
      <c r="F164" s="11"/>
      <c r="G164" s="12"/>
      <c r="H164" s="48"/>
      <c r="I164" s="11" t="str">
        <f t="shared" si="25"/>
        <v>Res</v>
      </c>
      <c r="J164" s="9" t="str">
        <f t="shared" si="26"/>
        <v>BIT</v>
      </c>
      <c r="K164" s="9" t="str">
        <f t="shared" si="27"/>
        <v>.4</v>
      </c>
      <c r="L164" s="4"/>
      <c r="M164" s="4"/>
      <c r="N164" s="11" t="str">
        <f t="shared" si="24"/>
        <v/>
      </c>
      <c r="O164" s="12"/>
      <c r="P164" s="56"/>
    </row>
    <row r="165" spans="1:16" x14ac:dyDescent="0.2">
      <c r="A165" s="1" t="s">
        <v>32</v>
      </c>
      <c r="B165" s="5" t="s">
        <v>31</v>
      </c>
      <c r="C165" s="6" t="s">
        <v>19</v>
      </c>
      <c r="D165" s="4"/>
      <c r="E165" s="4"/>
      <c r="F165" s="11"/>
      <c r="G165" s="12"/>
      <c r="H165" s="48"/>
      <c r="I165" s="11" t="str">
        <f t="shared" si="25"/>
        <v>Res</v>
      </c>
      <c r="J165" s="9" t="str">
        <f t="shared" si="26"/>
        <v>BIT</v>
      </c>
      <c r="K165" s="9" t="str">
        <f t="shared" si="27"/>
        <v>.5</v>
      </c>
      <c r="L165" s="4"/>
      <c r="M165" s="4"/>
      <c r="N165" s="11" t="str">
        <f t="shared" si="24"/>
        <v/>
      </c>
      <c r="O165" s="12"/>
      <c r="P165" s="56"/>
    </row>
    <row r="166" spans="1:16" x14ac:dyDescent="0.2">
      <c r="A166" s="1" t="s">
        <v>32</v>
      </c>
      <c r="B166" s="5" t="s">
        <v>31</v>
      </c>
      <c r="C166" s="6" t="s">
        <v>20</v>
      </c>
      <c r="D166" s="4"/>
      <c r="E166" s="4"/>
      <c r="F166" s="11"/>
      <c r="G166" s="12"/>
      <c r="H166" s="48"/>
      <c r="I166" s="11" t="str">
        <f t="shared" si="25"/>
        <v>Res</v>
      </c>
      <c r="J166" s="9" t="str">
        <f t="shared" si="26"/>
        <v>BIT</v>
      </c>
      <c r="K166" s="9" t="str">
        <f t="shared" si="27"/>
        <v>.6</v>
      </c>
      <c r="L166" s="4"/>
      <c r="M166" s="4"/>
      <c r="N166" s="11" t="str">
        <f t="shared" si="24"/>
        <v/>
      </c>
      <c r="O166" s="12"/>
      <c r="P166" s="56"/>
    </row>
    <row r="167" spans="1:16" x14ac:dyDescent="0.2">
      <c r="A167" s="1" t="s">
        <v>32</v>
      </c>
      <c r="B167" s="5" t="s">
        <v>31</v>
      </c>
      <c r="C167" s="6" t="s">
        <v>21</v>
      </c>
      <c r="D167" s="4"/>
      <c r="E167" s="4"/>
      <c r="F167" s="11"/>
      <c r="G167" s="12"/>
      <c r="H167" s="48"/>
      <c r="I167" s="11" t="str">
        <f t="shared" si="25"/>
        <v>Res</v>
      </c>
      <c r="J167" s="9" t="str">
        <f t="shared" si="26"/>
        <v>BIT</v>
      </c>
      <c r="K167" s="9" t="str">
        <f t="shared" si="27"/>
        <v>.7</v>
      </c>
      <c r="L167" s="4"/>
      <c r="M167" s="4"/>
      <c r="N167" s="11" t="str">
        <f t="shared" si="24"/>
        <v/>
      </c>
      <c r="O167" s="12"/>
      <c r="P167" s="56"/>
    </row>
    <row r="168" spans="1:16" x14ac:dyDescent="0.2">
      <c r="A168" s="1" t="s">
        <v>32</v>
      </c>
      <c r="B168" s="5" t="s">
        <v>31</v>
      </c>
      <c r="C168" s="6" t="s">
        <v>22</v>
      </c>
      <c r="D168" s="4"/>
      <c r="E168" s="4"/>
      <c r="F168" s="11"/>
      <c r="G168" s="12"/>
      <c r="H168" s="48"/>
      <c r="I168" s="11" t="str">
        <f>IF(ISBLANK(A160),"",A160)</f>
        <v>Res</v>
      </c>
      <c r="J168" s="9" t="str">
        <f t="shared" si="26"/>
        <v>BIT</v>
      </c>
      <c r="K168" s="9" t="str">
        <f t="shared" si="27"/>
        <v>.8</v>
      </c>
      <c r="L168" s="4"/>
      <c r="M168" s="4"/>
      <c r="N168" s="11" t="str">
        <f t="shared" ref="N168:N175" si="28">IF(ISBLANK(F160),"",F160)</f>
        <v/>
      </c>
      <c r="O168" s="12"/>
      <c r="P168" s="56"/>
    </row>
    <row r="169" spans="1:16" x14ac:dyDescent="0.2">
      <c r="A169" s="1" t="s">
        <v>32</v>
      </c>
      <c r="B169" s="5" t="s">
        <v>31</v>
      </c>
      <c r="C169" s="6" t="s">
        <v>23</v>
      </c>
      <c r="D169" s="4"/>
      <c r="E169" s="4"/>
      <c r="F169" s="11"/>
      <c r="G169" s="12"/>
      <c r="H169" s="48"/>
      <c r="I169" s="11" t="str">
        <f t="shared" ref="I169:I175" si="29">IF(ISBLANK(A161),"",A161)</f>
        <v>Res</v>
      </c>
      <c r="J169" s="9" t="str">
        <f t="shared" si="26"/>
        <v>BIT</v>
      </c>
      <c r="K169" s="9" t="str">
        <f t="shared" si="27"/>
        <v>.9</v>
      </c>
      <c r="L169" s="4"/>
      <c r="M169" s="4"/>
      <c r="N169" s="11" t="str">
        <f t="shared" si="28"/>
        <v/>
      </c>
      <c r="O169" s="12"/>
      <c r="P169" s="56"/>
    </row>
    <row r="170" spans="1:16" x14ac:dyDescent="0.2">
      <c r="A170" s="1" t="s">
        <v>32</v>
      </c>
      <c r="B170" s="5" t="s">
        <v>31</v>
      </c>
      <c r="C170" s="6" t="s">
        <v>24</v>
      </c>
      <c r="D170" s="4"/>
      <c r="E170" s="4"/>
      <c r="F170" s="11"/>
      <c r="G170" s="12"/>
      <c r="H170" s="48"/>
      <c r="I170" s="11" t="str">
        <f t="shared" si="29"/>
        <v>Res</v>
      </c>
      <c r="J170" s="9" t="str">
        <f t="shared" si="26"/>
        <v>BIT</v>
      </c>
      <c r="K170" s="9" t="str">
        <f t="shared" si="27"/>
        <v>.10</v>
      </c>
      <c r="L170" s="4"/>
      <c r="M170" s="4"/>
      <c r="N170" s="11" t="str">
        <f t="shared" si="28"/>
        <v/>
      </c>
      <c r="O170" s="12"/>
      <c r="P170" s="56"/>
    </row>
    <row r="171" spans="1:16" x14ac:dyDescent="0.2">
      <c r="A171" s="1" t="s">
        <v>32</v>
      </c>
      <c r="B171" s="5" t="s">
        <v>31</v>
      </c>
      <c r="C171" s="6" t="s">
        <v>25</v>
      </c>
      <c r="D171" s="4"/>
      <c r="E171" s="4"/>
      <c r="F171" s="11"/>
      <c r="G171" s="12"/>
      <c r="H171" s="48"/>
      <c r="I171" s="72" t="str">
        <f t="shared" si="29"/>
        <v>Res</v>
      </c>
      <c r="J171" s="9" t="str">
        <f t="shared" si="26"/>
        <v>BIT</v>
      </c>
      <c r="K171" s="9" t="str">
        <f t="shared" si="27"/>
        <v>.11</v>
      </c>
      <c r="L171" s="4"/>
      <c r="M171" s="4"/>
      <c r="N171" s="72" t="str">
        <f t="shared" si="28"/>
        <v/>
      </c>
      <c r="O171" s="12"/>
      <c r="P171" s="56"/>
    </row>
    <row r="172" spans="1:16" x14ac:dyDescent="0.2">
      <c r="A172" s="1" t="s">
        <v>32</v>
      </c>
      <c r="B172" s="5" t="s">
        <v>31</v>
      </c>
      <c r="C172" s="6" t="s">
        <v>26</v>
      </c>
      <c r="D172" s="4"/>
      <c r="E172" s="4"/>
      <c r="F172" s="11"/>
      <c r="G172" s="12"/>
      <c r="H172" s="48"/>
      <c r="I172" s="11" t="str">
        <f t="shared" si="29"/>
        <v>Res</v>
      </c>
      <c r="J172" s="9" t="str">
        <f t="shared" si="26"/>
        <v>BIT</v>
      </c>
      <c r="K172" s="9" t="str">
        <f t="shared" si="27"/>
        <v>.12</v>
      </c>
      <c r="L172" s="4"/>
      <c r="M172" s="4"/>
      <c r="N172" s="11" t="str">
        <f t="shared" si="28"/>
        <v/>
      </c>
      <c r="O172" s="12"/>
      <c r="P172" s="56"/>
    </row>
    <row r="173" spans="1:16" x14ac:dyDescent="0.2">
      <c r="A173" s="1" t="s">
        <v>32</v>
      </c>
      <c r="B173" s="5" t="s">
        <v>31</v>
      </c>
      <c r="C173" s="6" t="s">
        <v>27</v>
      </c>
      <c r="D173" s="4"/>
      <c r="E173" s="4"/>
      <c r="F173" s="11"/>
      <c r="G173" s="12"/>
      <c r="H173" s="48"/>
      <c r="I173" s="11" t="str">
        <f t="shared" si="29"/>
        <v>Res</v>
      </c>
      <c r="J173" s="9" t="str">
        <f t="shared" si="26"/>
        <v>BIT</v>
      </c>
      <c r="K173" s="9" t="str">
        <f t="shared" si="27"/>
        <v>.13</v>
      </c>
      <c r="L173" s="4"/>
      <c r="M173" s="4"/>
      <c r="N173" s="11" t="str">
        <f t="shared" si="28"/>
        <v/>
      </c>
      <c r="O173" s="12"/>
      <c r="P173" s="56"/>
    </row>
    <row r="174" spans="1:16" x14ac:dyDescent="0.2">
      <c r="A174" s="1" t="s">
        <v>32</v>
      </c>
      <c r="B174" s="5" t="s">
        <v>31</v>
      </c>
      <c r="C174" s="6" t="s">
        <v>28</v>
      </c>
      <c r="D174" s="4"/>
      <c r="E174" s="4"/>
      <c r="F174" s="11"/>
      <c r="G174" s="12"/>
      <c r="H174" s="48"/>
      <c r="I174" s="11" t="str">
        <f t="shared" si="29"/>
        <v>Res</v>
      </c>
      <c r="J174" s="9" t="str">
        <f t="shared" si="26"/>
        <v>BIT</v>
      </c>
      <c r="K174" s="9" t="str">
        <f t="shared" si="27"/>
        <v>.14</v>
      </c>
      <c r="L174" s="4"/>
      <c r="M174" s="4"/>
      <c r="N174" s="11" t="str">
        <f t="shared" si="28"/>
        <v/>
      </c>
      <c r="O174" s="12"/>
      <c r="P174" s="56"/>
    </row>
    <row r="175" spans="1:16" x14ac:dyDescent="0.2">
      <c r="A175" s="30" t="s">
        <v>32</v>
      </c>
      <c r="B175" s="18" t="s">
        <v>31</v>
      </c>
      <c r="C175" s="19" t="s">
        <v>29</v>
      </c>
      <c r="D175" s="66"/>
      <c r="E175" s="66"/>
      <c r="F175" s="11"/>
      <c r="G175" s="12"/>
      <c r="H175" s="48"/>
      <c r="I175" s="11" t="str">
        <f t="shared" si="29"/>
        <v>Res</v>
      </c>
      <c r="J175" s="9" t="str">
        <f t="shared" si="26"/>
        <v>BIT</v>
      </c>
      <c r="K175" s="9" t="str">
        <f t="shared" si="27"/>
        <v>.15</v>
      </c>
      <c r="L175" s="66"/>
      <c r="M175" s="66"/>
      <c r="N175" s="11" t="str">
        <f t="shared" si="28"/>
        <v/>
      </c>
      <c r="O175" s="12"/>
      <c r="P175" s="56"/>
    </row>
    <row r="176" spans="1:16" x14ac:dyDescent="0.2">
      <c r="A176" s="1" t="s">
        <v>247</v>
      </c>
      <c r="B176" s="4" t="s">
        <v>46</v>
      </c>
      <c r="C176" s="7">
        <f>C159+IF(OR(B159="INT",B159="UINT",B159="WORD"),1,IF(OR(B159="DINT",B159="UDINT",B159="REAL",B159="FLOAT"),2,"xxx"))*IF(OR($CA$1=1,$CA$1=3,$CA$1=4),1,2)</f>
        <v>2102</v>
      </c>
      <c r="D176" s="78" t="s">
        <v>53</v>
      </c>
      <c r="E176" s="67"/>
      <c r="F176" s="11" t="s">
        <v>347</v>
      </c>
      <c r="G176" s="12"/>
      <c r="H176" s="48"/>
    </row>
    <row r="177" spans="1:8" x14ac:dyDescent="0.2">
      <c r="A177" s="2" t="s">
        <v>248</v>
      </c>
      <c r="B177" s="20" t="s">
        <v>46</v>
      </c>
      <c r="C177" s="7">
        <f t="shared" ref="C177:C197" si="30">C176+IF(OR(B176="INT",B176="UINT",B176="WORD"),1,IF(OR(B176="DINT",B176="UDINT",B176="REAL",B176="FLOAT"),2,"xxx"))*IF(OR($CA$1=1,$CA$1=3,$CA$1=4),1,2)</f>
        <v>2103</v>
      </c>
      <c r="D177" s="78" t="s">
        <v>53</v>
      </c>
      <c r="E177" s="67"/>
      <c r="F177" s="11" t="s">
        <v>348</v>
      </c>
      <c r="G177" s="12"/>
      <c r="H177" s="48"/>
    </row>
    <row r="178" spans="1:8" x14ac:dyDescent="0.2">
      <c r="A178" s="2"/>
      <c r="B178" s="37" t="s">
        <v>46</v>
      </c>
      <c r="C178" s="7">
        <f t="shared" si="30"/>
        <v>2104</v>
      </c>
      <c r="D178" s="78"/>
      <c r="E178" s="68"/>
      <c r="F178" s="11" t="s">
        <v>355</v>
      </c>
      <c r="G178" s="12"/>
      <c r="H178" s="48"/>
    </row>
    <row r="179" spans="1:8" x14ac:dyDescent="0.2">
      <c r="A179" s="2"/>
      <c r="B179" s="37" t="s">
        <v>46</v>
      </c>
      <c r="C179" s="7">
        <f t="shared" si="30"/>
        <v>2105</v>
      </c>
      <c r="D179" s="78"/>
      <c r="E179" s="68"/>
      <c r="F179" s="11" t="s">
        <v>356</v>
      </c>
      <c r="G179" s="12"/>
      <c r="H179" s="48"/>
    </row>
    <row r="180" spans="1:8" x14ac:dyDescent="0.2">
      <c r="A180" s="2" t="s">
        <v>249</v>
      </c>
      <c r="B180" s="37" t="s">
        <v>46</v>
      </c>
      <c r="C180" s="7">
        <f t="shared" si="30"/>
        <v>2106</v>
      </c>
      <c r="D180" s="78" t="s">
        <v>53</v>
      </c>
      <c r="E180" s="67"/>
      <c r="F180" s="72" t="s">
        <v>90</v>
      </c>
      <c r="G180" s="12"/>
      <c r="H180" s="48"/>
    </row>
    <row r="181" spans="1:8" x14ac:dyDescent="0.2">
      <c r="A181" s="2" t="s">
        <v>174</v>
      </c>
      <c r="B181" s="37" t="s">
        <v>46</v>
      </c>
      <c r="C181" s="7">
        <f t="shared" si="30"/>
        <v>2107</v>
      </c>
      <c r="D181" s="78"/>
      <c r="E181" s="67"/>
      <c r="F181" s="72" t="s">
        <v>207</v>
      </c>
      <c r="G181" s="12"/>
      <c r="H181" s="48"/>
    </row>
    <row r="182" spans="1:8" x14ac:dyDescent="0.2">
      <c r="A182" s="2" t="s">
        <v>179</v>
      </c>
      <c r="B182" s="37" t="s">
        <v>46</v>
      </c>
      <c r="C182" s="7">
        <f t="shared" si="30"/>
        <v>2108</v>
      </c>
      <c r="D182" s="78" t="s">
        <v>45</v>
      </c>
      <c r="E182" s="68"/>
      <c r="F182" s="72" t="s">
        <v>227</v>
      </c>
      <c r="G182" s="12"/>
      <c r="H182" s="48"/>
    </row>
    <row r="183" spans="1:8" x14ac:dyDescent="0.2">
      <c r="A183" s="2" t="s">
        <v>180</v>
      </c>
      <c r="B183" s="37" t="s">
        <v>46</v>
      </c>
      <c r="C183" s="7">
        <f t="shared" si="30"/>
        <v>2109</v>
      </c>
      <c r="D183" s="78" t="s">
        <v>45</v>
      </c>
      <c r="E183" s="68"/>
      <c r="F183" s="72" t="s">
        <v>181</v>
      </c>
      <c r="G183" s="12"/>
      <c r="H183" s="48"/>
    </row>
    <row r="184" spans="1:8" x14ac:dyDescent="0.2">
      <c r="A184" s="2" t="s">
        <v>401</v>
      </c>
      <c r="B184" s="37" t="s">
        <v>46</v>
      </c>
      <c r="C184" s="7">
        <f t="shared" si="30"/>
        <v>2110</v>
      </c>
      <c r="D184" s="78"/>
      <c r="E184" s="69"/>
      <c r="F184" s="72" t="s">
        <v>402</v>
      </c>
      <c r="G184" s="12"/>
      <c r="H184" s="48"/>
    </row>
    <row r="185" spans="1:8" x14ac:dyDescent="0.2">
      <c r="A185" s="2"/>
      <c r="B185" s="37" t="s">
        <v>46</v>
      </c>
      <c r="C185" s="7">
        <f t="shared" si="30"/>
        <v>2111</v>
      </c>
      <c r="D185" s="78"/>
      <c r="E185" s="78"/>
      <c r="F185" s="72"/>
      <c r="G185" s="12"/>
      <c r="H185" s="48"/>
    </row>
    <row r="186" spans="1:8" x14ac:dyDescent="0.2">
      <c r="A186" s="2" t="s">
        <v>84</v>
      </c>
      <c r="B186" s="37" t="s">
        <v>46</v>
      </c>
      <c r="C186" s="7">
        <f t="shared" si="30"/>
        <v>2112</v>
      </c>
      <c r="D186" s="78" t="s">
        <v>45</v>
      </c>
      <c r="E186" s="78"/>
      <c r="F186" s="72" t="s">
        <v>238</v>
      </c>
      <c r="G186" s="12"/>
      <c r="H186" s="48"/>
    </row>
    <row r="187" spans="1:8" x14ac:dyDescent="0.2">
      <c r="A187" s="2" t="s">
        <v>397</v>
      </c>
      <c r="B187" s="37" t="s">
        <v>46</v>
      </c>
      <c r="C187" s="7">
        <f t="shared" si="30"/>
        <v>2113</v>
      </c>
      <c r="D187" s="78"/>
      <c r="E187" s="78"/>
      <c r="F187" s="72" t="s">
        <v>398</v>
      </c>
      <c r="G187" s="12"/>
      <c r="H187" s="48"/>
    </row>
    <row r="188" spans="1:8" x14ac:dyDescent="0.2">
      <c r="A188" s="2"/>
      <c r="B188" s="37" t="s">
        <v>46</v>
      </c>
      <c r="C188" s="7">
        <f t="shared" si="30"/>
        <v>2114</v>
      </c>
      <c r="D188" s="78"/>
      <c r="E188" s="78"/>
      <c r="F188" s="11"/>
      <c r="G188" s="12"/>
      <c r="H188" s="48"/>
    </row>
    <row r="189" spans="1:8" x14ac:dyDescent="0.2">
      <c r="A189" s="2" t="s">
        <v>196</v>
      </c>
      <c r="B189" s="37" t="s">
        <v>46</v>
      </c>
      <c r="C189" s="7">
        <f t="shared" si="30"/>
        <v>2115</v>
      </c>
      <c r="D189" s="78" t="s">
        <v>45</v>
      </c>
      <c r="E189" s="78"/>
      <c r="F189" s="72" t="s">
        <v>343</v>
      </c>
      <c r="G189" s="12"/>
      <c r="H189" s="48"/>
    </row>
    <row r="190" spans="1:8" x14ac:dyDescent="0.2">
      <c r="A190" s="2" t="s">
        <v>194</v>
      </c>
      <c r="B190" s="37" t="s">
        <v>46</v>
      </c>
      <c r="C190" s="7">
        <f t="shared" ref="C190:C191" si="31">C189+IF(OR(B189="INT",B189="UINT",B189="WORD"),1,IF(OR(B189="DINT",B189="UDINT",B189="REAL",B189="FLOAT"),2,"xxx"))*IF(OR($CA$1=1,$CA$1=3,$CA$1=4),1,2)</f>
        <v>2116</v>
      </c>
      <c r="D190" s="78" t="s">
        <v>45</v>
      </c>
      <c r="E190" s="78"/>
      <c r="F190" s="72" t="s">
        <v>343</v>
      </c>
      <c r="G190" s="12"/>
      <c r="H190" s="48"/>
    </row>
    <row r="191" spans="1:8" x14ac:dyDescent="0.2">
      <c r="A191" s="2" t="s">
        <v>195</v>
      </c>
      <c r="B191" s="4" t="s">
        <v>46</v>
      </c>
      <c r="C191" s="7">
        <f t="shared" si="31"/>
        <v>2117</v>
      </c>
      <c r="D191" s="78" t="s">
        <v>202</v>
      </c>
      <c r="E191" s="78"/>
      <c r="F191" s="72" t="s">
        <v>343</v>
      </c>
      <c r="G191" s="12"/>
      <c r="H191" s="48"/>
    </row>
    <row r="192" spans="1:8" x14ac:dyDescent="0.2">
      <c r="A192" s="2" t="s">
        <v>197</v>
      </c>
      <c r="B192" s="37" t="s">
        <v>46</v>
      </c>
      <c r="C192" s="7">
        <f t="shared" si="30"/>
        <v>2118</v>
      </c>
      <c r="D192" s="78"/>
      <c r="E192" s="67"/>
      <c r="F192" s="72" t="s">
        <v>344</v>
      </c>
      <c r="G192" s="12"/>
      <c r="H192" s="48"/>
    </row>
    <row r="193" spans="1:8" x14ac:dyDescent="0.2">
      <c r="A193" s="2" t="s">
        <v>198</v>
      </c>
      <c r="B193" s="37" t="s">
        <v>46</v>
      </c>
      <c r="C193" s="7">
        <f t="shared" ref="C193:C196" si="32">C192+IF(OR(B192="INT",B192="UINT",B192="WORD"),1,IF(OR(B192="DINT",B192="UDINT",B192="REAL",B192="FLOAT"),2,"xxx"))*IF(OR($CA$1=1,$CA$1=3,$CA$1=4),1,2)</f>
        <v>2119</v>
      </c>
      <c r="D193" s="78" t="s">
        <v>45</v>
      </c>
      <c r="E193" s="68"/>
      <c r="F193" s="72" t="s">
        <v>345</v>
      </c>
      <c r="G193" s="12"/>
      <c r="H193" s="48"/>
    </row>
    <row r="194" spans="1:8" x14ac:dyDescent="0.2">
      <c r="A194" s="2" t="s">
        <v>199</v>
      </c>
      <c r="B194" s="37" t="s">
        <v>46</v>
      </c>
      <c r="C194" s="7">
        <f t="shared" si="32"/>
        <v>2120</v>
      </c>
      <c r="D194" s="78" t="s">
        <v>45</v>
      </c>
      <c r="E194" s="69"/>
      <c r="F194" s="72" t="s">
        <v>345</v>
      </c>
      <c r="G194" s="15"/>
      <c r="H194" s="49"/>
    </row>
    <row r="195" spans="1:8" x14ac:dyDescent="0.2">
      <c r="A195" s="2" t="s">
        <v>200</v>
      </c>
      <c r="B195" s="4" t="s">
        <v>46</v>
      </c>
      <c r="C195" s="7">
        <f t="shared" si="32"/>
        <v>2121</v>
      </c>
      <c r="D195" s="78" t="s">
        <v>202</v>
      </c>
      <c r="E195" s="78"/>
      <c r="F195" s="11" t="s">
        <v>345</v>
      </c>
      <c r="G195" s="15"/>
      <c r="H195" s="49"/>
    </row>
    <row r="196" spans="1:8" x14ac:dyDescent="0.2">
      <c r="A196" s="2" t="s">
        <v>201</v>
      </c>
      <c r="B196" s="37" t="s">
        <v>46</v>
      </c>
      <c r="C196" s="7">
        <f t="shared" si="32"/>
        <v>2122</v>
      </c>
      <c r="D196" s="78"/>
      <c r="E196" s="78"/>
      <c r="F196" s="11" t="s">
        <v>346</v>
      </c>
      <c r="G196" s="15"/>
      <c r="H196" s="49"/>
    </row>
    <row r="197" spans="1:8" x14ac:dyDescent="0.2">
      <c r="A197" s="2"/>
      <c r="B197" s="37" t="s">
        <v>46</v>
      </c>
      <c r="C197" s="7">
        <f t="shared" si="30"/>
        <v>2123</v>
      </c>
      <c r="D197" s="78"/>
      <c r="E197" s="78"/>
      <c r="F197" s="14"/>
      <c r="G197" s="15"/>
      <c r="H197" s="49"/>
    </row>
    <row r="198" spans="1:8" x14ac:dyDescent="0.2">
      <c r="A198" s="2"/>
      <c r="B198" s="37" t="s">
        <v>46</v>
      </c>
      <c r="C198" s="7">
        <f t="shared" ref="C198" si="33">C197+IF(OR(B197="INT",B197="UINT",B197="WORD"),1,IF(OR(B197="DINT",B197="UDINT",B197="REAL",B197="FLOAT"),2,"xxx"))*IF(OR($CA$1=1,$CA$1=3,$CA$1=4),1,2)</f>
        <v>2124</v>
      </c>
      <c r="D198" s="78"/>
      <c r="E198" s="76"/>
      <c r="F198" s="11"/>
      <c r="G198" s="12"/>
      <c r="H198" s="48"/>
    </row>
    <row r="199" spans="1:8" ht="12.75" customHeight="1" x14ac:dyDescent="0.2">
      <c r="A199" s="2" t="s">
        <v>335</v>
      </c>
      <c r="B199" s="37" t="s">
        <v>46</v>
      </c>
      <c r="C199" s="7">
        <f t="shared" ref="C199:C214" si="34">C198+IF(OR(B198="INT",B198="UINT",B198="WORD"),1,IF(OR(B198="DINT",B198="UDINT",B198="REAL",B198="FLOAT"),2,"xxx"))*IF(OR($CA$1=1,$CA$1=3,$CA$1=4),1,2)</f>
        <v>2125</v>
      </c>
      <c r="D199" s="78" t="s">
        <v>340</v>
      </c>
      <c r="E199" s="85"/>
      <c r="F199" s="14" t="s">
        <v>342</v>
      </c>
      <c r="G199" s="15"/>
      <c r="H199" s="49"/>
    </row>
    <row r="200" spans="1:8" x14ac:dyDescent="0.2">
      <c r="A200" s="2" t="s">
        <v>341</v>
      </c>
      <c r="B200" s="37" t="s">
        <v>46</v>
      </c>
      <c r="C200" s="7">
        <f t="shared" si="34"/>
        <v>2126</v>
      </c>
      <c r="D200" s="78" t="s">
        <v>340</v>
      </c>
      <c r="E200" s="78"/>
      <c r="F200" s="14" t="s">
        <v>342</v>
      </c>
      <c r="G200" s="15"/>
      <c r="H200" s="49"/>
    </row>
    <row r="201" spans="1:8" x14ac:dyDescent="0.2">
      <c r="A201" s="2" t="s">
        <v>336</v>
      </c>
      <c r="B201" s="37" t="s">
        <v>46</v>
      </c>
      <c r="C201" s="7">
        <f t="shared" si="34"/>
        <v>2127</v>
      </c>
      <c r="D201" s="78" t="s">
        <v>53</v>
      </c>
      <c r="E201" s="78"/>
      <c r="F201" s="14" t="s">
        <v>342</v>
      </c>
      <c r="G201" s="15"/>
      <c r="H201" s="49"/>
    </row>
    <row r="202" spans="1:8" x14ac:dyDescent="0.2">
      <c r="A202" s="2" t="s">
        <v>337</v>
      </c>
      <c r="B202" s="37" t="s">
        <v>46</v>
      </c>
      <c r="C202" s="7">
        <f t="shared" si="34"/>
        <v>2128</v>
      </c>
      <c r="D202" s="78" t="s">
        <v>53</v>
      </c>
      <c r="E202" s="67"/>
      <c r="F202" s="14" t="s">
        <v>342</v>
      </c>
      <c r="G202" s="15"/>
      <c r="H202" s="49"/>
    </row>
    <row r="203" spans="1:8" x14ac:dyDescent="0.2">
      <c r="A203" s="2" t="s">
        <v>338</v>
      </c>
      <c r="B203" s="37" t="s">
        <v>46</v>
      </c>
      <c r="C203" s="7">
        <f t="shared" si="34"/>
        <v>2129</v>
      </c>
      <c r="D203" s="78" t="s">
        <v>53</v>
      </c>
      <c r="E203" s="70"/>
      <c r="F203" s="14" t="s">
        <v>342</v>
      </c>
      <c r="G203" s="15"/>
      <c r="H203" s="49"/>
    </row>
    <row r="204" spans="1:8" x14ac:dyDescent="0.2">
      <c r="A204" s="2" t="s">
        <v>339</v>
      </c>
      <c r="B204" s="37" t="s">
        <v>46</v>
      </c>
      <c r="C204" s="7">
        <f t="shared" si="34"/>
        <v>2130</v>
      </c>
      <c r="D204" s="78" t="s">
        <v>53</v>
      </c>
      <c r="E204" s="70"/>
      <c r="F204" s="14" t="s">
        <v>342</v>
      </c>
      <c r="G204" s="15"/>
      <c r="H204" s="49"/>
    </row>
    <row r="205" spans="1:8" x14ac:dyDescent="0.2">
      <c r="A205" s="84" t="s">
        <v>265</v>
      </c>
      <c r="B205" s="4" t="s">
        <v>46</v>
      </c>
      <c r="C205" s="7">
        <f t="shared" si="34"/>
        <v>2131</v>
      </c>
      <c r="D205" s="70"/>
      <c r="E205" s="70"/>
      <c r="F205" s="14" t="s">
        <v>275</v>
      </c>
      <c r="G205" s="15"/>
      <c r="H205" s="49"/>
    </row>
    <row r="206" spans="1:8" ht="12.75" customHeight="1" x14ac:dyDescent="0.2">
      <c r="A206" s="84" t="s">
        <v>266</v>
      </c>
      <c r="B206" s="4" t="s">
        <v>46</v>
      </c>
      <c r="C206" s="7">
        <f t="shared" si="34"/>
        <v>2132</v>
      </c>
      <c r="D206" s="70"/>
      <c r="E206" s="70"/>
      <c r="F206" s="14" t="s">
        <v>275</v>
      </c>
      <c r="G206" s="15"/>
      <c r="H206" s="49"/>
    </row>
    <row r="207" spans="1:8" x14ac:dyDescent="0.2">
      <c r="A207" s="84" t="s">
        <v>267</v>
      </c>
      <c r="B207" s="4" t="s">
        <v>46</v>
      </c>
      <c r="C207" s="7">
        <f t="shared" si="34"/>
        <v>2133</v>
      </c>
      <c r="D207" s="70"/>
      <c r="E207" s="70"/>
      <c r="F207" s="14" t="s">
        <v>275</v>
      </c>
      <c r="G207" s="15"/>
      <c r="H207" s="49"/>
    </row>
    <row r="208" spans="1:8" x14ac:dyDescent="0.2">
      <c r="A208" s="84" t="s">
        <v>268</v>
      </c>
      <c r="B208" s="4" t="s">
        <v>46</v>
      </c>
      <c r="C208" s="7">
        <f t="shared" si="34"/>
        <v>2134</v>
      </c>
      <c r="D208" s="70"/>
      <c r="E208" s="70"/>
      <c r="F208" s="14" t="s">
        <v>275</v>
      </c>
      <c r="G208" s="15"/>
      <c r="H208" s="49"/>
    </row>
    <row r="209" spans="1:8" x14ac:dyDescent="0.2">
      <c r="A209" s="84" t="s">
        <v>269</v>
      </c>
      <c r="B209" s="4" t="s">
        <v>46</v>
      </c>
      <c r="C209" s="7">
        <f t="shared" si="34"/>
        <v>2135</v>
      </c>
      <c r="D209" s="70"/>
      <c r="E209" s="70"/>
      <c r="F209" s="14" t="s">
        <v>275</v>
      </c>
      <c r="G209" s="15"/>
      <c r="H209" s="49"/>
    </row>
    <row r="210" spans="1:8" x14ac:dyDescent="0.2">
      <c r="A210" s="84" t="s">
        <v>270</v>
      </c>
      <c r="B210" s="4" t="s">
        <v>46</v>
      </c>
      <c r="C210" s="7">
        <f t="shared" si="34"/>
        <v>2136</v>
      </c>
      <c r="D210" s="70"/>
      <c r="E210" s="70"/>
      <c r="F210" s="14" t="s">
        <v>275</v>
      </c>
      <c r="G210" s="15"/>
      <c r="H210" s="49"/>
    </row>
    <row r="211" spans="1:8" x14ac:dyDescent="0.2">
      <c r="A211" s="84" t="s">
        <v>271</v>
      </c>
      <c r="B211" s="4" t="s">
        <v>46</v>
      </c>
      <c r="C211" s="7">
        <f t="shared" si="34"/>
        <v>2137</v>
      </c>
      <c r="D211" s="70"/>
      <c r="E211" s="70"/>
      <c r="F211" s="14" t="s">
        <v>275</v>
      </c>
      <c r="G211" s="15"/>
      <c r="H211" s="49"/>
    </row>
    <row r="212" spans="1:8" x14ac:dyDescent="0.2">
      <c r="A212" s="84" t="s">
        <v>272</v>
      </c>
      <c r="B212" s="4" t="s">
        <v>46</v>
      </c>
      <c r="C212" s="7">
        <f t="shared" si="34"/>
        <v>2138</v>
      </c>
      <c r="D212" s="70"/>
      <c r="E212" s="70"/>
      <c r="F212" s="14" t="s">
        <v>275</v>
      </c>
      <c r="G212" s="15"/>
      <c r="H212" s="49"/>
    </row>
    <row r="213" spans="1:8" x14ac:dyDescent="0.2">
      <c r="A213" s="84" t="s">
        <v>273</v>
      </c>
      <c r="B213" s="4" t="s">
        <v>46</v>
      </c>
      <c r="C213" s="7">
        <f t="shared" si="34"/>
        <v>2139</v>
      </c>
      <c r="D213" s="70"/>
      <c r="E213" s="70"/>
      <c r="F213" s="14" t="s">
        <v>275</v>
      </c>
      <c r="G213" s="15"/>
      <c r="H213" s="49"/>
    </row>
    <row r="214" spans="1:8" x14ac:dyDescent="0.2">
      <c r="A214" s="84" t="s">
        <v>274</v>
      </c>
      <c r="B214" s="4" t="s">
        <v>46</v>
      </c>
      <c r="C214" s="7">
        <f t="shared" si="34"/>
        <v>2140</v>
      </c>
      <c r="D214" s="70"/>
      <c r="E214" s="70"/>
      <c r="F214" s="14" t="s">
        <v>275</v>
      </c>
      <c r="G214" s="15"/>
      <c r="H214" s="49"/>
    </row>
    <row r="215" spans="1:8" x14ac:dyDescent="0.2">
      <c r="A215" s="84" t="s">
        <v>276</v>
      </c>
      <c r="B215" s="4" t="s">
        <v>46</v>
      </c>
      <c r="C215" s="7">
        <f t="shared" ref="C215:C224" si="35">C214+IF(OR(B214="INT",B214="UINT",B214="WORD"),1,IF(OR(B214="DINT",B214="UDINT",B214="REAL",B214="FLOAT"),2,"xxx"))*IF(OR($CA$1=1,$CA$1=3,$CA$1=4),1,2)</f>
        <v>2141</v>
      </c>
      <c r="D215" s="70"/>
      <c r="E215" s="70"/>
      <c r="F215" s="14" t="s">
        <v>275</v>
      </c>
      <c r="G215" s="15"/>
      <c r="H215" s="49"/>
    </row>
    <row r="216" spans="1:8" x14ac:dyDescent="0.2">
      <c r="A216" s="84" t="s">
        <v>277</v>
      </c>
      <c r="B216" s="4" t="s">
        <v>46</v>
      </c>
      <c r="C216" s="7">
        <f t="shared" si="35"/>
        <v>2142</v>
      </c>
      <c r="D216" s="70"/>
      <c r="E216" s="70"/>
      <c r="F216" s="14" t="s">
        <v>275</v>
      </c>
      <c r="G216" s="15"/>
      <c r="H216" s="49"/>
    </row>
    <row r="217" spans="1:8" x14ac:dyDescent="0.2">
      <c r="A217" s="84" t="s">
        <v>278</v>
      </c>
      <c r="B217" s="4" t="s">
        <v>46</v>
      </c>
      <c r="C217" s="7">
        <f t="shared" si="35"/>
        <v>2143</v>
      </c>
      <c r="D217" s="70"/>
      <c r="E217" s="70"/>
      <c r="F217" s="14" t="s">
        <v>275</v>
      </c>
      <c r="G217" s="15"/>
      <c r="H217" s="49"/>
    </row>
    <row r="218" spans="1:8" x14ac:dyDescent="0.2">
      <c r="A218" s="84" t="s">
        <v>279</v>
      </c>
      <c r="B218" s="4" t="s">
        <v>46</v>
      </c>
      <c r="C218" s="7">
        <f t="shared" si="35"/>
        <v>2144</v>
      </c>
      <c r="D218" s="70"/>
      <c r="E218" s="70"/>
      <c r="F218" s="14" t="s">
        <v>275</v>
      </c>
      <c r="G218" s="15"/>
      <c r="H218" s="49"/>
    </row>
    <row r="219" spans="1:8" x14ac:dyDescent="0.2">
      <c r="A219" s="84" t="s">
        <v>280</v>
      </c>
      <c r="B219" s="4" t="s">
        <v>46</v>
      </c>
      <c r="C219" s="7">
        <f t="shared" si="35"/>
        <v>2145</v>
      </c>
      <c r="D219" s="70"/>
      <c r="E219" s="70"/>
      <c r="F219" s="14" t="s">
        <v>275</v>
      </c>
      <c r="G219" s="15"/>
      <c r="H219" s="49"/>
    </row>
    <row r="220" spans="1:8" x14ac:dyDescent="0.2">
      <c r="A220" s="84" t="s">
        <v>281</v>
      </c>
      <c r="B220" s="4" t="s">
        <v>46</v>
      </c>
      <c r="C220" s="7">
        <f t="shared" si="35"/>
        <v>2146</v>
      </c>
      <c r="D220" s="70"/>
      <c r="E220" s="70"/>
      <c r="F220" s="14" t="s">
        <v>275</v>
      </c>
      <c r="G220" s="15"/>
      <c r="H220" s="49"/>
    </row>
    <row r="221" spans="1:8" x14ac:dyDescent="0.2">
      <c r="A221" s="84" t="s">
        <v>282</v>
      </c>
      <c r="B221" s="4" t="s">
        <v>46</v>
      </c>
      <c r="C221" s="7">
        <f t="shared" si="35"/>
        <v>2147</v>
      </c>
      <c r="D221" s="70"/>
      <c r="E221" s="70"/>
      <c r="F221" s="14" t="s">
        <v>275</v>
      </c>
      <c r="G221" s="15"/>
      <c r="H221" s="49"/>
    </row>
    <row r="222" spans="1:8" x14ac:dyDescent="0.2">
      <c r="A222" s="84" t="s">
        <v>283</v>
      </c>
      <c r="B222" s="4" t="s">
        <v>46</v>
      </c>
      <c r="C222" s="7">
        <f t="shared" si="35"/>
        <v>2148</v>
      </c>
      <c r="D222" s="70"/>
      <c r="E222" s="70"/>
      <c r="F222" s="14" t="s">
        <v>275</v>
      </c>
      <c r="G222" s="15"/>
      <c r="H222" s="49"/>
    </row>
    <row r="223" spans="1:8" x14ac:dyDescent="0.2">
      <c r="A223" s="84" t="s">
        <v>284</v>
      </c>
      <c r="B223" s="4" t="s">
        <v>46</v>
      </c>
      <c r="C223" s="7">
        <f t="shared" si="35"/>
        <v>2149</v>
      </c>
      <c r="D223" s="70"/>
      <c r="E223" s="70"/>
      <c r="F223" s="14" t="s">
        <v>275</v>
      </c>
      <c r="G223" s="15"/>
      <c r="H223" s="49"/>
    </row>
    <row r="224" spans="1:8" x14ac:dyDescent="0.2">
      <c r="A224" s="84" t="s">
        <v>285</v>
      </c>
      <c r="B224" s="4" t="s">
        <v>46</v>
      </c>
      <c r="C224" s="7">
        <f t="shared" si="35"/>
        <v>2150</v>
      </c>
      <c r="D224" s="70"/>
      <c r="E224" s="70"/>
      <c r="F224" s="14" t="s">
        <v>275</v>
      </c>
      <c r="G224" s="15"/>
      <c r="H224" s="49"/>
    </row>
    <row r="225" spans="1:8" x14ac:dyDescent="0.2">
      <c r="A225" s="84" t="s">
        <v>363</v>
      </c>
      <c r="B225" s="4" t="s">
        <v>46</v>
      </c>
      <c r="C225" s="7">
        <f t="shared" ref="C225:C254" si="36">C224+IF(OR(B224="INT",B224="UINT",B224="WORD"),1,IF(OR(B224="DINT",B224="UDINT",B224="REAL",B224="FLOAT"),2,"xxx"))*IF(OR($CA$1=1,$CA$1=3,$CA$1=4),1,2)</f>
        <v>2151</v>
      </c>
      <c r="D225" s="70"/>
      <c r="E225" s="70"/>
      <c r="F225" s="14" t="s">
        <v>275</v>
      </c>
      <c r="G225" s="15"/>
      <c r="H225" s="49"/>
    </row>
    <row r="226" spans="1:8" ht="12.75" customHeight="1" x14ac:dyDescent="0.2">
      <c r="A226" s="84" t="s">
        <v>364</v>
      </c>
      <c r="B226" s="4" t="s">
        <v>46</v>
      </c>
      <c r="C226" s="7">
        <f t="shared" si="36"/>
        <v>2152</v>
      </c>
      <c r="D226" s="70"/>
      <c r="E226" s="70"/>
      <c r="F226" s="14" t="s">
        <v>275</v>
      </c>
      <c r="G226" s="15"/>
      <c r="H226" s="49"/>
    </row>
    <row r="227" spans="1:8" x14ac:dyDescent="0.2">
      <c r="A227" s="84" t="s">
        <v>365</v>
      </c>
      <c r="B227" s="4" t="s">
        <v>46</v>
      </c>
      <c r="C227" s="7">
        <f t="shared" si="36"/>
        <v>2153</v>
      </c>
      <c r="D227" s="70"/>
      <c r="E227" s="70"/>
      <c r="F227" s="14" t="s">
        <v>275</v>
      </c>
      <c r="G227" s="15"/>
      <c r="H227" s="49"/>
    </row>
    <row r="228" spans="1:8" x14ac:dyDescent="0.2">
      <c r="A228" s="84" t="s">
        <v>366</v>
      </c>
      <c r="B228" s="4" t="s">
        <v>46</v>
      </c>
      <c r="C228" s="7">
        <f t="shared" si="36"/>
        <v>2154</v>
      </c>
      <c r="D228" s="70"/>
      <c r="E228" s="70"/>
      <c r="F228" s="14" t="s">
        <v>275</v>
      </c>
      <c r="G228" s="15"/>
      <c r="H228" s="49"/>
    </row>
    <row r="229" spans="1:8" x14ac:dyDescent="0.2">
      <c r="A229" s="84" t="s">
        <v>367</v>
      </c>
      <c r="B229" s="4" t="s">
        <v>46</v>
      </c>
      <c r="C229" s="7">
        <f t="shared" si="36"/>
        <v>2155</v>
      </c>
      <c r="D229" s="70"/>
      <c r="E229" s="70"/>
      <c r="F229" s="14" t="s">
        <v>275</v>
      </c>
      <c r="G229" s="15"/>
      <c r="H229" s="49"/>
    </row>
    <row r="230" spans="1:8" x14ac:dyDescent="0.2">
      <c r="A230" s="84" t="s">
        <v>368</v>
      </c>
      <c r="B230" s="4" t="s">
        <v>46</v>
      </c>
      <c r="C230" s="7">
        <f t="shared" si="36"/>
        <v>2156</v>
      </c>
      <c r="D230" s="70"/>
      <c r="E230" s="70"/>
      <c r="F230" s="14" t="s">
        <v>275</v>
      </c>
      <c r="G230" s="15"/>
      <c r="H230" s="49"/>
    </row>
    <row r="231" spans="1:8" x14ac:dyDescent="0.2">
      <c r="A231" s="84" t="s">
        <v>369</v>
      </c>
      <c r="B231" s="4" t="s">
        <v>46</v>
      </c>
      <c r="C231" s="7">
        <f t="shared" si="36"/>
        <v>2157</v>
      </c>
      <c r="D231" s="70"/>
      <c r="E231" s="70"/>
      <c r="F231" s="14" t="s">
        <v>275</v>
      </c>
      <c r="G231" s="15"/>
      <c r="H231" s="49"/>
    </row>
    <row r="232" spans="1:8" ht="12.75" customHeight="1" x14ac:dyDescent="0.2">
      <c r="A232" s="84" t="s">
        <v>370</v>
      </c>
      <c r="B232" s="4" t="s">
        <v>46</v>
      </c>
      <c r="C232" s="7">
        <f t="shared" si="36"/>
        <v>2158</v>
      </c>
      <c r="D232" s="70"/>
      <c r="E232" s="70"/>
      <c r="F232" s="14" t="s">
        <v>275</v>
      </c>
      <c r="G232" s="15"/>
      <c r="H232" s="49"/>
    </row>
    <row r="233" spans="1:8" x14ac:dyDescent="0.2">
      <c r="A233" s="84" t="s">
        <v>371</v>
      </c>
      <c r="B233" s="4" t="s">
        <v>46</v>
      </c>
      <c r="C233" s="7">
        <f t="shared" si="36"/>
        <v>2159</v>
      </c>
      <c r="D233" s="70"/>
      <c r="E233" s="70"/>
      <c r="F233" s="14" t="s">
        <v>275</v>
      </c>
      <c r="G233" s="15"/>
      <c r="H233" s="49"/>
    </row>
    <row r="234" spans="1:8" x14ac:dyDescent="0.2">
      <c r="A234" s="84" t="s">
        <v>372</v>
      </c>
      <c r="B234" s="4" t="s">
        <v>46</v>
      </c>
      <c r="C234" s="7">
        <f t="shared" si="36"/>
        <v>2160</v>
      </c>
      <c r="D234" s="70"/>
      <c r="E234" s="70"/>
      <c r="F234" s="14" t="s">
        <v>275</v>
      </c>
      <c r="G234" s="15"/>
      <c r="H234" s="49"/>
    </row>
    <row r="235" spans="1:8" x14ac:dyDescent="0.2">
      <c r="A235" s="84" t="s">
        <v>373</v>
      </c>
      <c r="B235" s="4" t="s">
        <v>46</v>
      </c>
      <c r="C235" s="7">
        <f t="shared" si="36"/>
        <v>2161</v>
      </c>
      <c r="D235" s="70"/>
      <c r="E235" s="70"/>
      <c r="F235" s="14" t="s">
        <v>275</v>
      </c>
      <c r="G235" s="15"/>
      <c r="H235" s="49"/>
    </row>
    <row r="236" spans="1:8" x14ac:dyDescent="0.2">
      <c r="A236" s="84" t="s">
        <v>374</v>
      </c>
      <c r="B236" s="4" t="s">
        <v>46</v>
      </c>
      <c r="C236" s="7">
        <f t="shared" si="36"/>
        <v>2162</v>
      </c>
      <c r="D236" s="70"/>
      <c r="E236" s="70"/>
      <c r="F236" s="14" t="s">
        <v>275</v>
      </c>
      <c r="G236" s="15"/>
      <c r="H236" s="49"/>
    </row>
    <row r="237" spans="1:8" x14ac:dyDescent="0.2">
      <c r="A237" s="84" t="s">
        <v>375</v>
      </c>
      <c r="B237" s="4" t="s">
        <v>46</v>
      </c>
      <c r="C237" s="7">
        <f t="shared" si="36"/>
        <v>2163</v>
      </c>
      <c r="D237" s="70"/>
      <c r="E237" s="70"/>
      <c r="F237" s="14" t="s">
        <v>275</v>
      </c>
      <c r="G237" s="15"/>
      <c r="H237" s="49"/>
    </row>
    <row r="238" spans="1:8" x14ac:dyDescent="0.2">
      <c r="A238" s="84" t="s">
        <v>376</v>
      </c>
      <c r="B238" s="4" t="s">
        <v>46</v>
      </c>
      <c r="C238" s="7">
        <f t="shared" si="36"/>
        <v>2164</v>
      </c>
      <c r="D238" s="70"/>
      <c r="E238" s="70"/>
      <c r="F238" s="14" t="s">
        <v>275</v>
      </c>
      <c r="G238" s="15"/>
      <c r="H238" s="49"/>
    </row>
    <row r="239" spans="1:8" x14ac:dyDescent="0.2">
      <c r="A239" s="84" t="s">
        <v>377</v>
      </c>
      <c r="B239" s="4" t="s">
        <v>46</v>
      </c>
      <c r="C239" s="7">
        <f t="shared" si="36"/>
        <v>2165</v>
      </c>
      <c r="D239" s="70"/>
      <c r="E239" s="70"/>
      <c r="F239" s="14" t="s">
        <v>275</v>
      </c>
      <c r="G239" s="15"/>
      <c r="H239" s="49"/>
    </row>
    <row r="240" spans="1:8" x14ac:dyDescent="0.2">
      <c r="A240" s="84" t="s">
        <v>378</v>
      </c>
      <c r="B240" s="4" t="s">
        <v>46</v>
      </c>
      <c r="C240" s="7">
        <f t="shared" si="36"/>
        <v>2166</v>
      </c>
      <c r="D240" s="70"/>
      <c r="E240" s="70"/>
      <c r="F240" s="14" t="s">
        <v>275</v>
      </c>
      <c r="G240" s="15"/>
      <c r="H240" s="49"/>
    </row>
    <row r="241" spans="1:8" x14ac:dyDescent="0.2">
      <c r="A241" s="84" t="s">
        <v>379</v>
      </c>
      <c r="B241" s="4" t="s">
        <v>46</v>
      </c>
      <c r="C241" s="7">
        <f t="shared" si="36"/>
        <v>2167</v>
      </c>
      <c r="D241" s="70"/>
      <c r="E241" s="70"/>
      <c r="F241" s="14" t="s">
        <v>275</v>
      </c>
      <c r="G241" s="15"/>
      <c r="H241" s="49"/>
    </row>
    <row r="242" spans="1:8" x14ac:dyDescent="0.2">
      <c r="A242" s="84" t="s">
        <v>380</v>
      </c>
      <c r="B242" s="4" t="s">
        <v>46</v>
      </c>
      <c r="C242" s="7">
        <f t="shared" si="36"/>
        <v>2168</v>
      </c>
      <c r="D242" s="70"/>
      <c r="E242" s="70"/>
      <c r="F242" s="14" t="s">
        <v>275</v>
      </c>
      <c r="G242" s="15"/>
      <c r="H242" s="49"/>
    </row>
    <row r="243" spans="1:8" x14ac:dyDescent="0.2">
      <c r="A243" s="84" t="s">
        <v>381</v>
      </c>
      <c r="B243" s="4" t="s">
        <v>46</v>
      </c>
      <c r="C243" s="7">
        <f t="shared" si="36"/>
        <v>2169</v>
      </c>
      <c r="D243" s="70"/>
      <c r="E243" s="70"/>
      <c r="F243" s="14" t="s">
        <v>275</v>
      </c>
      <c r="G243" s="15"/>
      <c r="H243" s="49"/>
    </row>
    <row r="244" spans="1:8" x14ac:dyDescent="0.2">
      <c r="A244" s="84" t="s">
        <v>382</v>
      </c>
      <c r="B244" s="4" t="s">
        <v>46</v>
      </c>
      <c r="C244" s="7">
        <f t="shared" si="36"/>
        <v>2170</v>
      </c>
      <c r="D244" s="70"/>
      <c r="E244" s="70"/>
      <c r="F244" s="14" t="s">
        <v>275</v>
      </c>
      <c r="G244" s="15"/>
      <c r="H244" s="49"/>
    </row>
    <row r="245" spans="1:8" x14ac:dyDescent="0.2">
      <c r="A245" s="84" t="s">
        <v>383</v>
      </c>
      <c r="B245" s="4" t="s">
        <v>46</v>
      </c>
      <c r="C245" s="7">
        <f t="shared" si="36"/>
        <v>2171</v>
      </c>
      <c r="D245" s="70"/>
      <c r="E245" s="70"/>
      <c r="F245" s="14" t="s">
        <v>275</v>
      </c>
      <c r="G245" s="15"/>
      <c r="H245" s="49"/>
    </row>
    <row r="246" spans="1:8" x14ac:dyDescent="0.2">
      <c r="A246" s="84" t="s">
        <v>384</v>
      </c>
      <c r="B246" s="4" t="s">
        <v>46</v>
      </c>
      <c r="C246" s="7">
        <f t="shared" si="36"/>
        <v>2172</v>
      </c>
      <c r="D246" s="70"/>
      <c r="E246" s="70"/>
      <c r="F246" s="14" t="s">
        <v>275</v>
      </c>
      <c r="G246" s="15"/>
      <c r="H246" s="49"/>
    </row>
    <row r="247" spans="1:8" x14ac:dyDescent="0.2">
      <c r="A247" s="84" t="s">
        <v>385</v>
      </c>
      <c r="B247" s="4" t="s">
        <v>46</v>
      </c>
      <c r="C247" s="7">
        <f t="shared" si="36"/>
        <v>2173</v>
      </c>
      <c r="D247" s="70"/>
      <c r="E247" s="70"/>
      <c r="F247" s="14" t="s">
        <v>275</v>
      </c>
      <c r="G247" s="15"/>
      <c r="H247" s="49"/>
    </row>
    <row r="248" spans="1:8" x14ac:dyDescent="0.2">
      <c r="A248" s="84" t="s">
        <v>386</v>
      </c>
      <c r="B248" s="4" t="s">
        <v>46</v>
      </c>
      <c r="C248" s="7">
        <f t="shared" si="36"/>
        <v>2174</v>
      </c>
      <c r="D248" s="70"/>
      <c r="E248" s="70"/>
      <c r="F248" s="14" t="s">
        <v>275</v>
      </c>
      <c r="G248" s="15"/>
      <c r="H248" s="49"/>
    </row>
    <row r="249" spans="1:8" x14ac:dyDescent="0.2">
      <c r="A249" s="84" t="s">
        <v>387</v>
      </c>
      <c r="B249" s="4" t="s">
        <v>46</v>
      </c>
      <c r="C249" s="7">
        <f t="shared" si="36"/>
        <v>2175</v>
      </c>
      <c r="D249" s="70"/>
      <c r="E249" s="70"/>
      <c r="F249" s="14" t="s">
        <v>275</v>
      </c>
      <c r="G249" s="15"/>
      <c r="H249" s="49"/>
    </row>
    <row r="250" spans="1:8" x14ac:dyDescent="0.2">
      <c r="A250" s="84" t="s">
        <v>388</v>
      </c>
      <c r="B250" s="4" t="s">
        <v>46</v>
      </c>
      <c r="C250" s="7">
        <f t="shared" si="36"/>
        <v>2176</v>
      </c>
      <c r="D250" s="70"/>
      <c r="E250" s="70"/>
      <c r="F250" s="14" t="s">
        <v>275</v>
      </c>
      <c r="G250" s="15"/>
      <c r="H250" s="49"/>
    </row>
    <row r="251" spans="1:8" x14ac:dyDescent="0.2">
      <c r="A251" s="84" t="s">
        <v>389</v>
      </c>
      <c r="B251" s="4" t="s">
        <v>46</v>
      </c>
      <c r="C251" s="7">
        <f t="shared" si="36"/>
        <v>2177</v>
      </c>
      <c r="D251" s="70"/>
      <c r="E251" s="70"/>
      <c r="F251" s="14" t="s">
        <v>275</v>
      </c>
      <c r="G251" s="15"/>
      <c r="H251" s="49"/>
    </row>
    <row r="252" spans="1:8" x14ac:dyDescent="0.2">
      <c r="A252" s="84" t="s">
        <v>390</v>
      </c>
      <c r="B252" s="4" t="s">
        <v>46</v>
      </c>
      <c r="C252" s="7">
        <f t="shared" si="36"/>
        <v>2178</v>
      </c>
      <c r="D252" s="70"/>
      <c r="E252" s="70"/>
      <c r="F252" s="14" t="s">
        <v>275</v>
      </c>
      <c r="G252" s="15"/>
      <c r="H252" s="49"/>
    </row>
    <row r="253" spans="1:8" x14ac:dyDescent="0.2">
      <c r="A253" s="84" t="s">
        <v>391</v>
      </c>
      <c r="B253" s="4" t="s">
        <v>46</v>
      </c>
      <c r="C253" s="7">
        <f t="shared" si="36"/>
        <v>2179</v>
      </c>
      <c r="D253" s="70"/>
      <c r="E253" s="70"/>
      <c r="F253" s="14" t="s">
        <v>275</v>
      </c>
      <c r="G253" s="15"/>
      <c r="H253" s="49"/>
    </row>
    <row r="254" spans="1:8" x14ac:dyDescent="0.2">
      <c r="A254" s="84" t="s">
        <v>392</v>
      </c>
      <c r="B254" s="4" t="s">
        <v>46</v>
      </c>
      <c r="C254" s="7">
        <f t="shared" si="36"/>
        <v>2180</v>
      </c>
      <c r="D254" s="70"/>
      <c r="E254" s="70"/>
      <c r="F254" s="14" t="s">
        <v>275</v>
      </c>
      <c r="G254" s="15"/>
      <c r="H254" s="49"/>
    </row>
  </sheetData>
  <mergeCells count="4">
    <mergeCell ref="A12:H12"/>
    <mergeCell ref="A140:H140"/>
    <mergeCell ref="I12:P12"/>
    <mergeCell ref="I140:P140"/>
  </mergeCells>
  <phoneticPr fontId="8" type="noConversion"/>
  <pageMargins left="0.70866141732283472" right="0.70866141732283472" top="0.74803149606299213" bottom="0.74803149606299213" header="0.31496062992125984" footer="0.31496062992125984"/>
  <pageSetup paperSize="9" scale="77" firstPageNumber="0" fitToHeight="0" orientation="portrait" horizontalDpi="300" verticalDpi="300" r:id="rId1"/>
  <headerFooter alignWithMargins="0">
    <oddFooter>&amp;CSivu &amp;P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1" r:id="rId4" name="DropDown1">
              <controlPr defaultSize="0" autoLine="0" autoPict="0">
                <anchor moveWithCells="1">
                  <from>
                    <xdr:col>1</xdr:col>
                    <xdr:colOff>19050</xdr:colOff>
                    <xdr:row>2</xdr:row>
                    <xdr:rowOff>0</xdr:rowOff>
                  </from>
                  <to>
                    <xdr:col>2</xdr:col>
                    <xdr:colOff>19050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DBA98-F187-4D96-871B-F9EDB4BBB2B4}">
  <dimension ref="A86:A161"/>
  <sheetViews>
    <sheetView zoomScale="70" zoomScaleNormal="70" workbookViewId="0">
      <selection activeCell="F47" sqref="F47"/>
    </sheetView>
  </sheetViews>
  <sheetFormatPr defaultRowHeight="12.75" x14ac:dyDescent="0.2"/>
  <sheetData>
    <row r="86" spans="1:1" ht="25.5" x14ac:dyDescent="0.35">
      <c r="A86" s="89" t="s">
        <v>349</v>
      </c>
    </row>
    <row r="134" spans="1:1" ht="25.5" x14ac:dyDescent="0.35">
      <c r="A134" s="89" t="s">
        <v>99</v>
      </c>
    </row>
    <row r="161" spans="1:1" ht="25.5" x14ac:dyDescent="0.35">
      <c r="A161" s="89"/>
    </row>
  </sheetData>
  <pageMargins left="0.7" right="0.7" top="0.75" bottom="0.75" header="0.3" footer="0.3"/>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73925-60A5-4CD6-B870-E52E9AC76BC0}">
  <dimension ref="A1:D28"/>
  <sheetViews>
    <sheetView workbookViewId="0">
      <selection activeCell="A28" sqref="A28"/>
    </sheetView>
  </sheetViews>
  <sheetFormatPr defaultRowHeight="12.75" x14ac:dyDescent="0.2"/>
  <cols>
    <col min="1" max="1" width="50.7109375" bestFit="1" customWidth="1"/>
  </cols>
  <sheetData>
    <row r="1" spans="1:4" x14ac:dyDescent="0.2">
      <c r="A1" t="s">
        <v>289</v>
      </c>
      <c r="B1" s="86"/>
      <c r="D1" s="86">
        <v>0</v>
      </c>
    </row>
    <row r="2" spans="1:4" x14ac:dyDescent="0.2">
      <c r="A2" t="s">
        <v>290</v>
      </c>
      <c r="B2" s="86"/>
      <c r="D2" s="86">
        <v>1</v>
      </c>
    </row>
    <row r="3" spans="1:4" x14ac:dyDescent="0.2">
      <c r="A3" t="s">
        <v>291</v>
      </c>
      <c r="B3" s="86"/>
      <c r="D3" s="86">
        <v>10</v>
      </c>
    </row>
    <row r="4" spans="1:4" x14ac:dyDescent="0.2">
      <c r="A4" s="87" t="s">
        <v>292</v>
      </c>
      <c r="B4" s="86"/>
      <c r="C4" s="86"/>
      <c r="D4" s="86">
        <v>11</v>
      </c>
    </row>
    <row r="5" spans="1:4" x14ac:dyDescent="0.2">
      <c r="A5" t="s">
        <v>293</v>
      </c>
      <c r="B5" s="86"/>
      <c r="D5" s="86">
        <v>20</v>
      </c>
    </row>
    <row r="6" spans="1:4" x14ac:dyDescent="0.2">
      <c r="A6" t="s">
        <v>294</v>
      </c>
      <c r="B6" s="86"/>
      <c r="D6" s="86">
        <v>21</v>
      </c>
    </row>
    <row r="7" spans="1:4" x14ac:dyDescent="0.2">
      <c r="A7" t="s">
        <v>295</v>
      </c>
      <c r="B7" s="86"/>
      <c r="D7" s="86">
        <v>22</v>
      </c>
    </row>
    <row r="8" spans="1:4" x14ac:dyDescent="0.2">
      <c r="A8" t="s">
        <v>296</v>
      </c>
      <c r="B8" s="86"/>
      <c r="D8" s="86">
        <v>23</v>
      </c>
    </row>
    <row r="9" spans="1:4" x14ac:dyDescent="0.2">
      <c r="A9" t="s">
        <v>288</v>
      </c>
      <c r="B9" s="86"/>
      <c r="D9" s="86">
        <v>24</v>
      </c>
    </row>
    <row r="10" spans="1:4" x14ac:dyDescent="0.2">
      <c r="A10" t="s">
        <v>297</v>
      </c>
      <c r="B10" s="86"/>
      <c r="D10" s="86">
        <v>25</v>
      </c>
    </row>
    <row r="11" spans="1:4" x14ac:dyDescent="0.2">
      <c r="A11" t="s">
        <v>298</v>
      </c>
      <c r="B11" s="86"/>
      <c r="D11" s="86">
        <v>30</v>
      </c>
    </row>
    <row r="12" spans="1:4" x14ac:dyDescent="0.2">
      <c r="A12" t="s">
        <v>299</v>
      </c>
      <c r="B12" s="86"/>
      <c r="D12" s="86">
        <v>31</v>
      </c>
    </row>
    <row r="13" spans="1:4" x14ac:dyDescent="0.2">
      <c r="A13" t="s">
        <v>300</v>
      </c>
      <c r="B13" s="86"/>
      <c r="D13" s="86">
        <v>40</v>
      </c>
    </row>
    <row r="14" spans="1:4" x14ac:dyDescent="0.2">
      <c r="A14" t="s">
        <v>301</v>
      </c>
      <c r="B14" s="86"/>
      <c r="D14" s="86">
        <v>50</v>
      </c>
    </row>
    <row r="15" spans="1:4" x14ac:dyDescent="0.2">
      <c r="A15" t="s">
        <v>302</v>
      </c>
      <c r="B15" s="86"/>
      <c r="D15" s="86">
        <v>51</v>
      </c>
    </row>
    <row r="16" spans="1:4" x14ac:dyDescent="0.2">
      <c r="A16" t="s">
        <v>303</v>
      </c>
      <c r="B16" s="86"/>
      <c r="D16" s="86">
        <v>70</v>
      </c>
    </row>
    <row r="17" spans="1:4" x14ac:dyDescent="0.2">
      <c r="A17" t="s">
        <v>301</v>
      </c>
      <c r="B17" s="86"/>
      <c r="D17" s="86">
        <v>75</v>
      </c>
    </row>
    <row r="18" spans="1:4" x14ac:dyDescent="0.2">
      <c r="A18" s="87" t="s">
        <v>298</v>
      </c>
      <c r="B18" s="86"/>
      <c r="C18" s="86"/>
      <c r="D18" s="86">
        <v>76</v>
      </c>
    </row>
    <row r="19" spans="1:4" x14ac:dyDescent="0.2">
      <c r="A19" t="s">
        <v>304</v>
      </c>
      <c r="B19" s="86"/>
      <c r="D19" s="86">
        <v>79</v>
      </c>
    </row>
    <row r="20" spans="1:4" x14ac:dyDescent="0.2">
      <c r="A20" t="s">
        <v>305</v>
      </c>
      <c r="B20" s="86"/>
      <c r="D20" s="86">
        <v>80</v>
      </c>
    </row>
    <row r="21" spans="1:4" x14ac:dyDescent="0.2">
      <c r="A21" t="s">
        <v>306</v>
      </c>
      <c r="B21" s="86"/>
      <c r="D21" s="86">
        <v>81</v>
      </c>
    </row>
    <row r="22" spans="1:4" x14ac:dyDescent="0.2">
      <c r="A22" t="s">
        <v>307</v>
      </c>
      <c r="B22" s="86"/>
      <c r="D22" s="86">
        <v>82</v>
      </c>
    </row>
    <row r="23" spans="1:4" x14ac:dyDescent="0.2">
      <c r="A23" t="s">
        <v>308</v>
      </c>
      <c r="B23" s="86"/>
      <c r="D23" s="86">
        <v>83</v>
      </c>
    </row>
    <row r="24" spans="1:4" x14ac:dyDescent="0.2">
      <c r="A24" t="s">
        <v>309</v>
      </c>
      <c r="B24" s="86"/>
      <c r="D24" s="86">
        <v>84</v>
      </c>
    </row>
    <row r="25" spans="1:4" x14ac:dyDescent="0.2">
      <c r="A25" t="s">
        <v>310</v>
      </c>
      <c r="B25" s="86"/>
      <c r="D25" s="86">
        <v>85</v>
      </c>
    </row>
    <row r="26" spans="1:4" x14ac:dyDescent="0.2">
      <c r="A26" t="s">
        <v>311</v>
      </c>
      <c r="B26" s="86"/>
      <c r="D26" s="86">
        <v>88</v>
      </c>
    </row>
    <row r="27" spans="1:4" x14ac:dyDescent="0.2">
      <c r="A27" t="s">
        <v>303</v>
      </c>
      <c r="B27" s="86"/>
      <c r="D27" s="86">
        <v>89</v>
      </c>
    </row>
    <row r="28" spans="1:4" x14ac:dyDescent="0.2">
      <c r="A28" t="s">
        <v>312</v>
      </c>
      <c r="B28" s="86"/>
      <c r="D28" s="86">
        <v>90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Laskentataulukot</vt:lpstr>
      </vt:variant>
      <vt:variant>
        <vt:i4>4</vt:i4>
      </vt:variant>
      <vt:variant>
        <vt:lpstr>Nimetyt alueet</vt:lpstr>
      </vt:variant>
      <vt:variant>
        <vt:i4>2</vt:i4>
      </vt:variant>
    </vt:vector>
  </HeadingPairs>
  <TitlesOfParts>
    <vt:vector size="6" baseType="lpstr">
      <vt:lpstr>Electrical</vt:lpstr>
      <vt:lpstr>Bus</vt:lpstr>
      <vt:lpstr>Instructions</vt:lpstr>
      <vt:lpstr>Status</vt:lpstr>
      <vt:lpstr>__xlnm.Print_Titles_1</vt:lpstr>
      <vt:lpstr>Bus!Tulostusotsikot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Fredrik Olaussen</dc:creator>
  <cp:lastModifiedBy>Joonas Jokinen</cp:lastModifiedBy>
  <cp:lastPrinted>2015-11-19T11:14:30Z</cp:lastPrinted>
  <dcterms:created xsi:type="dcterms:W3CDTF">2011-10-13T05:08:41Z</dcterms:created>
  <dcterms:modified xsi:type="dcterms:W3CDTF">2023-08-28T12:40:42Z</dcterms:modified>
</cp:coreProperties>
</file>